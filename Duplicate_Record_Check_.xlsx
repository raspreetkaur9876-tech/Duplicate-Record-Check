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0594c26a8802ee0/Pictures/Documents/"/>
    </mc:Choice>
  </mc:AlternateContent>
  <xr:revisionPtr revIDLastSave="0" documentId="8_{BFBC97AB-BF75-4698-AB8D-C748F02E606A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Original Data" sheetId="1" r:id="rId1"/>
    <sheet name="Duplicate Report" sheetId="2" r:id="rId2"/>
    <sheet name="Project Summary" sheetId="3" r:id="rId3"/>
    <sheet name="Cleaned Data" sheetId="4" r:id="rId4"/>
  </sheets>
  <definedNames>
    <definedName name="_xlnm._FilterDatabase" localSheetId="3" hidden="1">'Cleaned Data'!$A$1:$H$101</definedName>
    <definedName name="_xlnm._FilterDatabase" localSheetId="1" hidden="1">'Duplicate Report'!$A$1:$J$11</definedName>
    <definedName name="_xlnm._FilterDatabase" localSheetId="0" hidden="1">'Original Data'!$A$1:$R$101</definedName>
    <definedName name="_xlnm._FilterDatabase" localSheetId="2" hidden="1">'Project Summary'!$A$1:$D$12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01" i="1" l="1"/>
  <c r="L100" i="1"/>
  <c r="L99" i="1"/>
  <c r="L98" i="1"/>
  <c r="L97" i="1"/>
  <c r="L96" i="1"/>
  <c r="L95" i="1"/>
  <c r="L94" i="1"/>
  <c r="N93" i="1"/>
  <c r="L93" i="1"/>
  <c r="M93" i="1" s="1"/>
  <c r="L92" i="1"/>
  <c r="L91" i="1"/>
  <c r="L90" i="1"/>
  <c r="L89" i="1"/>
  <c r="L88" i="1"/>
  <c r="L87" i="1"/>
  <c r="L86" i="1"/>
  <c r="N85" i="1"/>
  <c r="L85" i="1"/>
  <c r="M85" i="1" s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N9" i="1"/>
  <c r="M9" i="1"/>
  <c r="L9" i="1"/>
  <c r="L8" i="1"/>
  <c r="L7" i="1"/>
  <c r="L6" i="1"/>
  <c r="L5" i="1"/>
  <c r="L4" i="1"/>
  <c r="L3" i="1"/>
  <c r="L2" i="1"/>
  <c r="B4" i="3"/>
  <c r="M76" i="1" l="1"/>
  <c r="N76" i="1"/>
  <c r="N68" i="1"/>
  <c r="M68" i="1"/>
  <c r="N51" i="1"/>
  <c r="M51" i="1"/>
  <c r="M17" i="1"/>
  <c r="N17" i="1"/>
  <c r="B7" i="3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2" i="1"/>
  <c r="M92" i="1"/>
  <c r="N91" i="1"/>
  <c r="M91" i="1"/>
  <c r="N90" i="1"/>
  <c r="M90" i="1"/>
  <c r="N89" i="1"/>
  <c r="M89" i="1"/>
  <c r="N88" i="1"/>
  <c r="M88" i="1"/>
  <c r="N87" i="1"/>
  <c r="M87" i="1"/>
  <c r="M86" i="1"/>
  <c r="N86" i="1"/>
  <c r="M84" i="1"/>
  <c r="N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M75" i="1"/>
  <c r="N75" i="1"/>
  <c r="M74" i="1"/>
  <c r="N74" i="1"/>
  <c r="M73" i="1"/>
  <c r="N73" i="1"/>
  <c r="N72" i="1"/>
  <c r="M72" i="1"/>
  <c r="N71" i="1"/>
  <c r="M71" i="1"/>
  <c r="M70" i="1"/>
  <c r="N70" i="1"/>
  <c r="N69" i="1"/>
  <c r="M69" i="1"/>
  <c r="M67" i="1"/>
  <c r="N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M59" i="1"/>
  <c r="N59" i="1"/>
  <c r="M58" i="1"/>
  <c r="N58" i="1"/>
  <c r="N57" i="1"/>
  <c r="M57" i="1"/>
  <c r="M56" i="1"/>
  <c r="N56" i="1"/>
  <c r="M55" i="1"/>
  <c r="N55" i="1"/>
  <c r="M54" i="1"/>
  <c r="N54" i="1"/>
  <c r="N53" i="1"/>
  <c r="M53" i="1"/>
  <c r="N52" i="1"/>
  <c r="M52" i="1"/>
  <c r="N50" i="1"/>
  <c r="M50" i="1"/>
  <c r="N49" i="1"/>
  <c r="M49" i="1"/>
  <c r="N48" i="1"/>
  <c r="M48" i="1"/>
  <c r="N47" i="1"/>
  <c r="M47" i="1"/>
  <c r="M46" i="1"/>
  <c r="N46" i="1"/>
  <c r="N45" i="1"/>
  <c r="M45" i="1"/>
  <c r="M44" i="1"/>
  <c r="N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M34" i="1"/>
  <c r="N34" i="1"/>
  <c r="N33" i="1"/>
  <c r="M33" i="1"/>
  <c r="M32" i="1"/>
  <c r="N32" i="1"/>
  <c r="N31" i="1"/>
  <c r="M31" i="1"/>
  <c r="M30" i="1"/>
  <c r="N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M21" i="1"/>
  <c r="N21" i="1"/>
  <c r="M20" i="1"/>
  <c r="N20" i="1"/>
  <c r="M19" i="1"/>
  <c r="N19" i="1"/>
  <c r="N18" i="1"/>
  <c r="M18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8" i="1"/>
  <c r="M8" i="1"/>
  <c r="N7" i="1"/>
  <c r="M7" i="1"/>
  <c r="N6" i="1"/>
  <c r="M6" i="1"/>
  <c r="N5" i="1"/>
  <c r="M5" i="1"/>
  <c r="N4" i="1"/>
  <c r="M4" i="1"/>
  <c r="N3" i="1"/>
  <c r="M3" i="1"/>
  <c r="M2" i="1"/>
  <c r="N2" i="1"/>
  <c r="B6" i="3" l="1"/>
  <c r="B5" i="3"/>
</calcChain>
</file>

<file path=xl/sharedStrings.xml><?xml version="1.0" encoding="utf-8"?>
<sst xmlns="http://schemas.openxmlformats.org/spreadsheetml/2006/main" count="1309" uniqueCount="523">
  <si>
    <t>Duplicate Record Check Project</t>
  </si>
  <si>
    <t>Metric</t>
  </si>
  <si>
    <t>Result</t>
  </si>
  <si>
    <t>Total Product Records</t>
  </si>
  <si>
    <t>Rows with repeated Product Names</t>
  </si>
  <si>
    <t>Rows with unique Product Names</t>
  </si>
  <si>
    <t>Distinct Product Names repeated</t>
  </si>
  <si>
    <t>Exact duplicate full rows</t>
  </si>
  <si>
    <t>Audit Note</t>
  </si>
  <si>
    <t>No exact duplicate full rows were found in the original data. Five Product Names repeat twice, creating 10 rows with repeated names. Product ID values are unique.</t>
  </si>
  <si>
    <t>Product ID</t>
  </si>
  <si>
    <t>Product Name</t>
  </si>
  <si>
    <t>Category</t>
  </si>
  <si>
    <t>Price</t>
  </si>
  <si>
    <t>Stock</t>
  </si>
  <si>
    <t>Brand</t>
  </si>
  <si>
    <t>SKU</t>
  </si>
  <si>
    <t>Description</t>
  </si>
  <si>
    <t>Product Name Count</t>
  </si>
  <si>
    <t>Name Duplicate Count</t>
  </si>
  <si>
    <t>Duplicate Status</t>
  </si>
  <si>
    <t>8462988b-c476-492c-9746-1c20099c1ea0</t>
  </si>
  <si>
    <t>strategy</t>
  </si>
  <si>
    <t>Books</t>
  </si>
  <si>
    <t>Johnston-Williams</t>
  </si>
  <si>
    <t>b5d392fa-90b4-4e71-95d0-f9307acb3c67</t>
  </si>
  <si>
    <t>Law agree sea child.</t>
  </si>
  <si>
    <t>2f0b9c9f-12b8-4f55-b291-6632ab7a4a02</t>
  </si>
  <si>
    <t>garden</t>
  </si>
  <si>
    <t>Clothing</t>
  </si>
  <si>
    <t>Boyer PLC</t>
  </si>
  <si>
    <t>2cb65817-de70-48c0-be31-429d710a9416</t>
  </si>
  <si>
    <t>Home after foreign book design game cold.</t>
  </si>
  <si>
    <t>e81d19ab-7a49-4176-8c1f-df2a1e4de5c3</t>
  </si>
  <si>
    <t>level</t>
  </si>
  <si>
    <t>Lawrence Inc</t>
  </si>
  <si>
    <t>729dead9-2ea4-4627-9f33-13b29631b2e8</t>
  </si>
  <si>
    <t>College whom its.</t>
  </si>
  <si>
    <t>6a36d649-1370-4d97-9ece-df50a1168bae</t>
  </si>
  <si>
    <t>box</t>
  </si>
  <si>
    <t>Furniture</t>
  </si>
  <si>
    <t>Williams Inc</t>
  </si>
  <si>
    <t>aaadfa61-158c-4866-bf51-a05b3b47ebc0</t>
  </si>
  <si>
    <t>Involve well need when rest cup necessary down.</t>
  </si>
  <si>
    <t>8709de9e-59ee-47be-aca1-7761fc62aa5e</t>
  </si>
  <si>
    <t>product</t>
  </si>
  <si>
    <t>Dougherty-Garcia</t>
  </si>
  <si>
    <t>04d5a2a5-6976-492e-908f-dc7875f15e67</t>
  </si>
  <si>
    <t>Early evidence require fund west fear sure.</t>
  </si>
  <si>
    <t>9edf7798-e1f5-4c5d-bb16-f8fa59a6d0e1</t>
  </si>
  <si>
    <t>experience</t>
  </si>
  <si>
    <t>Home Appliances</t>
  </si>
  <si>
    <t>Watts-Leblanc</t>
  </si>
  <si>
    <t>cb0e06ef-09b7-49f2-9c53-2f849fcfccb7</t>
  </si>
  <si>
    <t>Try assume remain big.</t>
  </si>
  <si>
    <t>9408cc2a-9681-453a-a510-b94141a20604</t>
  </si>
  <si>
    <t>entire</t>
  </si>
  <si>
    <t>Electronics</t>
  </si>
  <si>
    <t>Carter Ltd</t>
  </si>
  <si>
    <t>ac38905b-8d88-4f31-a754-d8b114fae82c</t>
  </si>
  <si>
    <t>Positive religious stage debate oil picture support.</t>
  </si>
  <si>
    <t>4d400f55-cb89-4e1e-b681-eb01ce770a18</t>
  </si>
  <si>
    <t>challenge</t>
  </si>
  <si>
    <t>Valdez, Deleon and Gordon</t>
  </si>
  <si>
    <t>26df9a9a-52ce-4da1-89c7-e7b664cfa58e</t>
  </si>
  <si>
    <t>Structure team determine administration wonder possible hold.</t>
  </si>
  <si>
    <t>f72a2b35-5ea2-4bbe-b5be-670b60541bb5</t>
  </si>
  <si>
    <t>trial</t>
  </si>
  <si>
    <t>Miller, French and Patel</t>
  </si>
  <si>
    <t>9ea85aa0-a30e-4512-8bed-3f209b086295</t>
  </si>
  <si>
    <t>Part from nation stage.</t>
  </si>
  <si>
    <t>276a134b-fd1f-4b6d-9fbc-c1f587c0c6eb</t>
  </si>
  <si>
    <t>instead</t>
  </si>
  <si>
    <t>Davenport and Sons</t>
  </si>
  <si>
    <t>bb636f73-a0f1-4cf2-8640-9c3053905e92</t>
  </si>
  <si>
    <t>New decide receive speech administration chance participant because.</t>
  </si>
  <si>
    <t>42d109d9-fb56-4c70-9dc4-93150d9d4c87</t>
  </si>
  <si>
    <t>drive</t>
  </si>
  <si>
    <t>Roberts-Kramer</t>
  </si>
  <si>
    <t>4881833c-230a-4b85-88ff-831cd347bb3a</t>
  </si>
  <si>
    <t>Build our remember show.</t>
  </si>
  <si>
    <t>4cece700-112b-4d41-833d-6c210481410f</t>
  </si>
  <si>
    <t>cultural</t>
  </si>
  <si>
    <t>Mendoza, Hernandez and Harris</t>
  </si>
  <si>
    <t>a8cbe4f5-38b9-4a1c-bc16-8b927c6fa522</t>
  </si>
  <si>
    <t>Resource enter foot.</t>
  </si>
  <si>
    <t>6cb25fba-85a2-4e66-988c-1cc22fbfcfd0</t>
  </si>
  <si>
    <t>structure</t>
  </si>
  <si>
    <t>Smith, Dixon and Davis</t>
  </si>
  <si>
    <t>068ce612-a2b2-465a-81e2-cc84c786b5b5</t>
  </si>
  <si>
    <t>Authority program could manage suffer official style.</t>
  </si>
  <si>
    <t>5e046ca5-f4c8-47ec-b8e6-a2ed07b57bf0</t>
  </si>
  <si>
    <t>difference</t>
  </si>
  <si>
    <t>Hudson PLC</t>
  </si>
  <si>
    <t>9eb09bf5-e715-41e4-a840-bdb88f0b942f</t>
  </si>
  <si>
    <t>Necessary person book friend while.</t>
  </si>
  <si>
    <t>827787ce-5e90-4457-a0e8-e05bd15d882a</t>
  </si>
  <si>
    <t>college</t>
  </si>
  <si>
    <t>Perez PLC</t>
  </si>
  <si>
    <t>4909e57e-7d43-4d02-8312-57529179820a</t>
  </si>
  <si>
    <t>Cost child rock music make measure something.</t>
  </si>
  <si>
    <t>587cddc0-0196-4903-a6b0-99ac95979668</t>
  </si>
  <si>
    <t>business</t>
  </si>
  <si>
    <t>Shepherd-Allen</t>
  </si>
  <si>
    <t>2504368d-67d6-4929-9541-b4a376e8fc04</t>
  </si>
  <si>
    <t>Use early amount.</t>
  </si>
  <si>
    <t>c23659f5-68c3-4da8-854c-a34b8e6e80f9</t>
  </si>
  <si>
    <t>mother</t>
  </si>
  <si>
    <t>Bailey-Freeman</t>
  </si>
  <si>
    <t>97497e9d-edb0-4837-a721-045e9bf7521d</t>
  </si>
  <si>
    <t>Present none age trouble.</t>
  </si>
  <si>
    <t>3ec3aadc-9d68-4bcd-a4d5-5ea3a7da4879</t>
  </si>
  <si>
    <t>hotel</t>
  </si>
  <si>
    <t>Nguyen-Warren</t>
  </si>
  <si>
    <t>09db7cb0-079d-4a25-b2c8-d48747c2a211</t>
  </si>
  <si>
    <t>Case popular them trial walk.</t>
  </si>
  <si>
    <t>1eca4880-7c5b-421a-ba9e-682351d78ad6</t>
  </si>
  <si>
    <t>check</t>
  </si>
  <si>
    <t>Food</t>
  </si>
  <si>
    <t>Mcclain-Wells</t>
  </si>
  <si>
    <t>ae8923d4-bc4f-49ba-bad1-f76a392483fd</t>
  </si>
  <si>
    <t>Dark little every adult poor.</t>
  </si>
  <si>
    <t>0e323b12-faa6-46f7-bdff-cfb6bfee38bd</t>
  </si>
  <si>
    <t>follow</t>
  </si>
  <si>
    <t>James, Smith and Wilson</t>
  </si>
  <si>
    <t>51072a70-7ef1-4d0c-95b8-d5ce41bf4302</t>
  </si>
  <si>
    <t>Generation adult prove.</t>
  </si>
  <si>
    <t>a799611f-4dff-486d-ab2b-f18c88f66230</t>
  </si>
  <si>
    <t>least</t>
  </si>
  <si>
    <t>Carter, Jordan and Bryan</t>
  </si>
  <si>
    <t>0432003e-2ea9-4d21-afc1-caadc5a3a971</t>
  </si>
  <si>
    <t>Idea address month establish.</t>
  </si>
  <si>
    <t>ef1bed91-dbfc-4554-a118-d503e5d3db31</t>
  </si>
  <si>
    <t>administration</t>
  </si>
  <si>
    <t>Nicholson PLC</t>
  </si>
  <si>
    <t>ef745749-934e-4a1f-8538-f8df56cee4e8</t>
  </si>
  <si>
    <t>Paper grow together mother player sport because option.</t>
  </si>
  <si>
    <t>2a42efd2-e9fd-40f2-8453-27b0df90060c</t>
  </si>
  <si>
    <t>thought</t>
  </si>
  <si>
    <t>Kirk, Kline and Valdez</t>
  </si>
  <si>
    <t>40f7ee97-bf7b-4c1e-a279-6c1f2d85f909</t>
  </si>
  <si>
    <t>Prove young eat indicate seven.</t>
  </si>
  <si>
    <t>d5d76d20-e176-4d97-ac83-4a14fbe5a972</t>
  </si>
  <si>
    <t>nation</t>
  </si>
  <si>
    <t>Goodman Inc</t>
  </si>
  <si>
    <t>a70d249a-711f-4c8f-a582-e44f2d1c2522</t>
  </si>
  <si>
    <t>Little fight include out.</t>
  </si>
  <si>
    <t>b9a66057-ed66-432e-ba85-4466f5690415</t>
  </si>
  <si>
    <t>suffer</t>
  </si>
  <si>
    <t>Harris PLC</t>
  </si>
  <si>
    <t>f5609ebd-61ac-4cfa-931d-6505db27a377</t>
  </si>
  <si>
    <t>Economic compare sell stay.</t>
  </si>
  <si>
    <t>a153d201-fbe9-460e-9a14-9a8897ac381c</t>
  </si>
  <si>
    <t>win</t>
  </si>
  <si>
    <t>Pennington-Harris</t>
  </si>
  <si>
    <t>173ef347-44c0-49fe-84aa-5f32022f2d11</t>
  </si>
  <si>
    <t>Relate fear station.</t>
  </si>
  <si>
    <t>cb589d81-06bf-4b62-b439-dbd66456dc00</t>
  </si>
  <si>
    <t>bar</t>
  </si>
  <si>
    <t>Garcia PLC</t>
  </si>
  <si>
    <t>b178bbf3-3c10-4fd7-96df-e5e82aca1972</t>
  </si>
  <si>
    <t>Situation should third good investment.</t>
  </si>
  <si>
    <t>7c2c7079-fe64-4070-81ef-b13da91ab062</t>
  </si>
  <si>
    <t>issue</t>
  </si>
  <si>
    <t>Holloway, Wright and Castillo</t>
  </si>
  <si>
    <t>c82eb4e0-5f2b-4770-9754-ef49eed5ad7d</t>
  </si>
  <si>
    <t>Attention factor mention strong shake hundred.</t>
  </si>
  <si>
    <t>9773e0bc-9e7b-4345-a234-e097b9577b4f</t>
  </si>
  <si>
    <t>wind</t>
  </si>
  <si>
    <t>Hensley-Johnson</t>
  </si>
  <si>
    <t>4fc31bbf-106d-499c-b6ee-c76a7f98b8d4</t>
  </si>
  <si>
    <t>Use left analysis just physical any employee.</t>
  </si>
  <si>
    <t>bd8ad01a-b0e2-4255-afb5-7bd56e917b12</t>
  </si>
  <si>
    <t>because</t>
  </si>
  <si>
    <t>Fowler-Riggs</t>
  </si>
  <si>
    <t>6158b539-5c3e-41ea-94f8-df916fdaf699</t>
  </si>
  <si>
    <t>Only bill goal system history nearly.</t>
  </si>
  <si>
    <t>758a72e7-2d3d-4faa-9b1f-aa5d2c97c3d7</t>
  </si>
  <si>
    <t>someone</t>
  </si>
  <si>
    <t>Hayes, Owen and Saunders</t>
  </si>
  <si>
    <t>5ec3693e-2585-4f13-9029-6deb43d41bf6</t>
  </si>
  <si>
    <t>Decide indicate pay fear try save easy.</t>
  </si>
  <si>
    <t>73e19c3e-103f-4da7-a1f7-b8127f789ef5</t>
  </si>
  <si>
    <t>source</t>
  </si>
  <si>
    <t>Thomas, Carpenter and Bowen</t>
  </si>
  <si>
    <t>323296b7-cf78-4b37-986b-30bab5ecb243</t>
  </si>
  <si>
    <t>Teacher describe specific big thus bad.</t>
  </si>
  <si>
    <t>2facb2cb-4bc4-4027-863c-e0fe9d24d258</t>
  </si>
  <si>
    <t>effect</t>
  </si>
  <si>
    <t>Ramirez-Moss</t>
  </si>
  <si>
    <t>3bf614f9-c704-4c7f-9a01-f829d267d4a5</t>
  </si>
  <si>
    <t>Force where memory.</t>
  </si>
  <si>
    <t>8bfd7633-a483-41b3-ae77-e39499a29d4d</t>
  </si>
  <si>
    <t>behind</t>
  </si>
  <si>
    <t>Hughes Group</t>
  </si>
  <si>
    <t>20bd263a-b2d7-47a8-a50d-eea4be75d764</t>
  </si>
  <si>
    <t>Ahead open only however perform buy forget itself.</t>
  </si>
  <si>
    <t>c4d8742b-3df2-4995-86b6-be2a311f6454</t>
  </si>
  <si>
    <t>away</t>
  </si>
  <si>
    <t>Mooney and Sons</t>
  </si>
  <si>
    <t>f5151237-2a01-4fc8-b852-35b9516724a3</t>
  </si>
  <si>
    <t>Order produce half major.</t>
  </si>
  <si>
    <t>ddeb97e4-09a9-427c-972e-89fb97d2d0ae</t>
  </si>
  <si>
    <t>treat</t>
  </si>
  <si>
    <t>Clark Inc</t>
  </si>
  <si>
    <t>2382ccd4-8930-49d5-a048-e9d38e0e9817</t>
  </si>
  <si>
    <t>Season girl exist matter would.</t>
  </si>
  <si>
    <t>34f544fe-efb1-47f3-825e-a58e63f4ddea</t>
  </si>
  <si>
    <t>yet</t>
  </si>
  <si>
    <t>Phelps Ltd</t>
  </si>
  <si>
    <t>1ecd9578-c2b4-4401-aeff-1778f1dc1452</t>
  </si>
  <si>
    <t>Campaign into should the on.</t>
  </si>
  <si>
    <t>6a1a6c49-6a9b-44ba-86c5-67b8f05929a5</t>
  </si>
  <si>
    <t>my</t>
  </si>
  <si>
    <t>Cooley, Munoz and Wall</t>
  </si>
  <si>
    <t>cdd4cd79-a5af-46e8-8d95-ecef58ee2131</t>
  </si>
  <si>
    <t>Develop family kitchen.</t>
  </si>
  <si>
    <t>8e4c1e9f-49fa-48bc-a5fb-d40ceef2c956</t>
  </si>
  <si>
    <t>color</t>
  </si>
  <si>
    <t>Barnes-Bush</t>
  </si>
  <si>
    <t>5e4a8c30-1005-4736-b925-b9b6bc45c3f4</t>
  </si>
  <si>
    <t>Approach mission himself once entire test.</t>
  </si>
  <si>
    <t>78886799-6aa9-4f49-8f48-783639d8a60a</t>
  </si>
  <si>
    <t>week</t>
  </si>
  <si>
    <t>Ryan, Hernandez and Collier</t>
  </si>
  <si>
    <t>488466de-a320-4efd-803e-4197a4297297</t>
  </si>
  <si>
    <t>Main appear without step maybe tend attention.</t>
  </si>
  <si>
    <t>30250507-a590-4b04-a77d-1d24e46dfddf</t>
  </si>
  <si>
    <t>then</t>
  </si>
  <si>
    <t>Gonzalez, Arias and Smith</t>
  </si>
  <si>
    <t>837447c6-29a2-4cbb-b317-56c53fea5354</t>
  </si>
  <si>
    <t>Western focus at forward research.</t>
  </si>
  <si>
    <t>e2b80d3c-a2d0-42d7-878a-557203eec3e8</t>
  </si>
  <si>
    <t>world</t>
  </si>
  <si>
    <t>Waller, Chandler and Weber</t>
  </si>
  <si>
    <t>91dcb32b-1943-4e64-bae8-cc7d29611266</t>
  </si>
  <si>
    <t>Team suddenly tax few make few.</t>
  </si>
  <si>
    <t>bd693be4-2727-44f1-8b7c-bf8f990b5a27</t>
  </si>
  <si>
    <t>material</t>
  </si>
  <si>
    <t>Lee, Sullivan and Williams</t>
  </si>
  <si>
    <t>25f388a4-f7b8-4c17-a7d5-9851a1a9a636</t>
  </si>
  <si>
    <t>Address price leave thus force Democrat.</t>
  </si>
  <si>
    <t>33124eab-51c1-43a4-bb0d-bf7d227915c7</t>
  </si>
  <si>
    <t>let</t>
  </si>
  <si>
    <t>Brown PLC</t>
  </si>
  <si>
    <t>964ffccb-689e-4288-b61b-856015ace057</t>
  </si>
  <si>
    <t>Usually beautiful design.</t>
  </si>
  <si>
    <t>984d3b6c-22cd-4c2e-9f08-9b7782b48288</t>
  </si>
  <si>
    <t>surface</t>
  </si>
  <si>
    <t>Walker, Johnson and Cole</t>
  </si>
  <si>
    <t>fc805621-7bfa-4eb5-970a-0ccb83754202</t>
  </si>
  <si>
    <t>Modern so agent then husband think.</t>
  </si>
  <si>
    <t>a86e8594-47ec-4f1c-9c82-894d23a2b239</t>
  </si>
  <si>
    <t>Yang Group</t>
  </si>
  <si>
    <t>7b38d0de-08db-4a5d-a37d-ded3693fbada</t>
  </si>
  <si>
    <t>Would without very player pass.</t>
  </si>
  <si>
    <t>011d7b22-e6a5-4fd3-a833-2e1c22013ff7</t>
  </si>
  <si>
    <t>list</t>
  </si>
  <si>
    <t>Perez, Douglas and Reyes</t>
  </si>
  <si>
    <t>e7ea71db-19eb-4bbb-9a91-4c69a556fc5f</t>
  </si>
  <si>
    <t>Act reason true treatment weight him anything.</t>
  </si>
  <si>
    <t>8e8afb4f-5904-48e9-a8f1-66af8f78a42b</t>
  </si>
  <si>
    <t>PM</t>
  </si>
  <si>
    <t>Patel Inc</t>
  </si>
  <si>
    <t>9ceb0a29-14c1-4da3-8bfb-0b5e91ca933b</t>
  </si>
  <si>
    <t>Entire control method heart quickly.</t>
  </si>
  <si>
    <t>a8c62f83-9ae7-43c2-870a-2c44912a514b</t>
  </si>
  <si>
    <t>important</t>
  </si>
  <si>
    <t>Robertson, Hernandez and Phillips</t>
  </si>
  <si>
    <t>2b95960e-aca3-4985-ba3d-f28f141c8a85</t>
  </si>
  <si>
    <t>State short voice improve.</t>
  </si>
  <si>
    <t>08c4e273-adb9-4dcc-b868-c375aa95607e</t>
  </si>
  <si>
    <t>conference</t>
  </si>
  <si>
    <t>Mcclain, Adkins and Parker</t>
  </si>
  <si>
    <t>9319fb9f-2dc3-443f-8aaf-8ea9f767b4e0</t>
  </si>
  <si>
    <t>Agreement purpose carry interest.</t>
  </si>
  <si>
    <t>932ac9c9-11db-4b3a-a09f-77576b88c528</t>
  </si>
  <si>
    <t>simply</t>
  </si>
  <si>
    <t>Li-Smith</t>
  </si>
  <si>
    <t>4198cb6a-123b-42d3-a7a0-28b116aa0ea4</t>
  </si>
  <si>
    <t>From significant truth girl.</t>
  </si>
  <si>
    <t>a2109664-475c-4405-875d-5f88d751b950</t>
  </si>
  <si>
    <t>admit</t>
  </si>
  <si>
    <t>Smith Group</t>
  </si>
  <si>
    <t>e74de23e-5963-47c6-a393-5f4ee005a97a</t>
  </si>
  <si>
    <t>Goal theory summer listen really leave.</t>
  </si>
  <si>
    <t>be0cba2e-646a-4f88-a4d3-b1b73150e12a</t>
  </si>
  <si>
    <t>look</t>
  </si>
  <si>
    <t>Collins-Smith</t>
  </si>
  <si>
    <t>52b2885a-8ea7-49ab-8362-336ab6fcba7c</t>
  </si>
  <si>
    <t>Example population would.</t>
  </si>
  <si>
    <t>8d4c1e75-0cf3-4eea-97d2-2868a5e860e8</t>
  </si>
  <si>
    <t>goal</t>
  </si>
  <si>
    <t>Thomas, Harris and Kidd</t>
  </si>
  <si>
    <t>694f2b2d-44aa-4cc0-83b5-73ad99806c46</t>
  </si>
  <si>
    <t>If skill heart establish nor.</t>
  </si>
  <si>
    <t>23794e9a-8796-4e41-bce0-8bf0a9391d1e</t>
  </si>
  <si>
    <t>stuff</t>
  </si>
  <si>
    <t>Garcia-Rush</t>
  </si>
  <si>
    <t>d24f5ec9-0548-4792-8fd3-50c726b7cf4b</t>
  </si>
  <si>
    <t>Thing table practice similar interview special local unit.</t>
  </si>
  <si>
    <t>13cc8ac2-aa5d-47bf-96c3-fde6b03642df</t>
  </si>
  <si>
    <t>include</t>
  </si>
  <si>
    <t>Stewart Group</t>
  </si>
  <si>
    <t>ee20221d-fdc6-472a-94d7-5366cf722065</t>
  </si>
  <si>
    <t>Early pattern inside edge owner consumer consumer.</t>
  </si>
  <si>
    <t>66cf89e5-2228-4669-8d16-c0b02afb2ede</t>
  </si>
  <si>
    <t>feel</t>
  </si>
  <si>
    <t>Vargas, Johnston and Rodriguez</t>
  </si>
  <si>
    <t>24d0ce12-8679-44cf-b273-6ef6b5a1fa9b</t>
  </si>
  <si>
    <t>Will the I trade can sister process.</t>
  </si>
  <si>
    <t>12694169-cdab-4744-af64-8c159ac7228c</t>
  </si>
  <si>
    <t>alone</t>
  </si>
  <si>
    <t>Scott and Sons</t>
  </si>
  <si>
    <t>6c9fe515-9199-4060-aaea-8b4340d2fe12</t>
  </si>
  <si>
    <t>Mention expert decade.</t>
  </si>
  <si>
    <t>05b833bc-346d-4505-9e2d-70edba73082d</t>
  </si>
  <si>
    <t>answer</t>
  </si>
  <si>
    <t>Ruiz-Jones</t>
  </si>
  <si>
    <t>d610d284-0274-4cd4-87d4-1377e27b3074</t>
  </si>
  <si>
    <t>Middle state agreement rich early common.</t>
  </si>
  <si>
    <t>6e5dc5cd-ac26-430b-80a7-3523a77fbd70</t>
  </si>
  <si>
    <t>medical</t>
  </si>
  <si>
    <t>Stevens-Whitehead</t>
  </si>
  <si>
    <t>13de7a18-bd8c-4e20-9d3e-0a86b0f91dbb</t>
  </si>
  <si>
    <t>Fly office want position.</t>
  </si>
  <si>
    <t>ca337ec8-4606-4f8b-8022-904e209d1dfc</t>
  </si>
  <si>
    <t>Mitchell-Foster</t>
  </si>
  <si>
    <t>6ac41fe6-60c9-4c8b-8c76-8ee7e26c1288</t>
  </si>
  <si>
    <t>Score cold arrive business tax remember.</t>
  </si>
  <si>
    <t>d3fcc818-5f03-4f0b-8282-ae8c55250428</t>
  </si>
  <si>
    <t>crime</t>
  </si>
  <si>
    <t>Pratt LLC</t>
  </si>
  <si>
    <t>fb2c9dfb-6a58-40f7-a6eb-91648a4375bb</t>
  </si>
  <si>
    <t>Relate perhaps officer art job through middle.</t>
  </si>
  <si>
    <t>c9878ec5-a557-4bb8-89f6-fea6ef9bfd92</t>
  </si>
  <si>
    <t>animal</t>
  </si>
  <si>
    <t>Lewis and Sons</t>
  </si>
  <si>
    <t>242f05d0-bf99-4f09-afa7-6c9c26c5f9ab</t>
  </si>
  <si>
    <t>Remember police dream I PM.</t>
  </si>
  <si>
    <t>7fed015f-0010-4930-a712-87a42259c040</t>
  </si>
  <si>
    <t>politics</t>
  </si>
  <si>
    <t>Brown Ltd</t>
  </si>
  <si>
    <t>4eaae191-cc49-4b86-816d-7466e1488b91</t>
  </si>
  <si>
    <t>Newspaper book bar do read production decade.</t>
  </si>
  <si>
    <t>b1ca8df7-0aaa-42c5-b26a-b06c4d5514bf</t>
  </si>
  <si>
    <t>toward</t>
  </si>
  <si>
    <t>Dean LLC</t>
  </si>
  <si>
    <t>bd928c6d-4be9-4090-85f0-1ab2994bb288</t>
  </si>
  <si>
    <t>Military why artist price.</t>
  </si>
  <si>
    <t>89cce806-594f-48a4-80db-f34c8e7b44c4</t>
  </si>
  <si>
    <t>game</t>
  </si>
  <si>
    <t>Reyes-Lee</t>
  </si>
  <si>
    <t>f5402827-9e5b-4d2f-9147-b2fe97a45c41</t>
  </si>
  <si>
    <t>Role continue lot value treat skill pretty.</t>
  </si>
  <si>
    <t>6ec2039a-7f87-47e3-b5f1-56f1eca6dd94</t>
  </si>
  <si>
    <t>from</t>
  </si>
  <si>
    <t>Lopez, Herring and Guzman</t>
  </si>
  <si>
    <t>94761341-506a-4b23-babd-4a09d4c6b57a</t>
  </si>
  <si>
    <t>Left human large food career rather network.</t>
  </si>
  <si>
    <t>e216d45f-c056-47c4-9d91-59744e66e939</t>
  </si>
  <si>
    <t>usually</t>
  </si>
  <si>
    <t>Kemp, Harrington and Smith</t>
  </si>
  <si>
    <t>c5ff86eb-24b1-45ef-a3ac-b2f5d11d5e09</t>
  </si>
  <si>
    <t>Door only staff right fund toward capital.</t>
  </si>
  <si>
    <t>a63d3583-84e2-4a68-9d9d-29c2e54f6ab6</t>
  </si>
  <si>
    <t>lawyer</t>
  </si>
  <si>
    <t>Mcconnell-Hale</t>
  </si>
  <si>
    <t>2ac4e48b-8c4e-4d44-bcf0-d00d16c83132</t>
  </si>
  <si>
    <t>Technology region of trade.</t>
  </si>
  <si>
    <t>102428d8-8df9-47ef-8227-7cedd561bdaa</t>
  </si>
  <si>
    <t>change</t>
  </si>
  <si>
    <t>Harper-Bernard</t>
  </si>
  <si>
    <t>cc844628-02a3-4e9a-a217-f0cd3cf446be</t>
  </si>
  <si>
    <t>Region across look have.</t>
  </si>
  <si>
    <t>088d4223-8a7c-4877-9365-0ac5b736af02</t>
  </si>
  <si>
    <t>Chase and Sons</t>
  </si>
  <si>
    <t>aafc3c90-5eb5-4229-961e-c7153e46fc1e</t>
  </si>
  <si>
    <t>Her visit particular bad.</t>
  </si>
  <si>
    <t>0485539b-6827-412e-9c48-64ceca761df7</t>
  </si>
  <si>
    <t>people</t>
  </si>
  <si>
    <t>Riddle-Cox</t>
  </si>
  <si>
    <t>c5a70188-f5ca-4182-b033-a29055b286ad</t>
  </si>
  <si>
    <t>Direction bed during ask.</t>
  </si>
  <si>
    <t>403a3d98-3917-4113-afc2-2bc4a17ecfb6</t>
  </si>
  <si>
    <t>when</t>
  </si>
  <si>
    <t>Evans and Sons</t>
  </si>
  <si>
    <t>6d92b599-2e67-4adb-920a-d88c318b4cb8</t>
  </si>
  <si>
    <t>And enter style program strategy.</t>
  </si>
  <si>
    <t>27ccb90c-ce6a-4c84-b036-ca77d46d5232</t>
  </si>
  <si>
    <t>prepare</t>
  </si>
  <si>
    <t>Frank, Ferguson and Campbell</t>
  </si>
  <si>
    <t>7f174809-fd2a-48c5-aae8-5580d2ae6a0e</t>
  </si>
  <si>
    <t>Ahead activity student rest.</t>
  </si>
  <si>
    <t>f8359ddd-2019-4425-b288-961540b25a52</t>
  </si>
  <si>
    <t>positive</t>
  </si>
  <si>
    <t>Long-Nelson</t>
  </si>
  <si>
    <t>b944c31c-2f20-4883-90c2-c596269406dc</t>
  </si>
  <si>
    <t>Mention political Republican program marriage.</t>
  </si>
  <si>
    <t>98fcfb1e-1f40-41a8-b801-8ebf0c050d4b</t>
  </si>
  <si>
    <t>ask</t>
  </si>
  <si>
    <t>Hicks, Case and Riddle</t>
  </si>
  <si>
    <t>c143a7cf-9f6b-4e0a-8aa7-46e99c531a28</t>
  </si>
  <si>
    <t>Yeah but through reality pick.</t>
  </si>
  <si>
    <t>be641fe6-5dd2-47d7-bf79-f824b02b0d85</t>
  </si>
  <si>
    <t>somebody</t>
  </si>
  <si>
    <t>Fox-Elliott</t>
  </si>
  <si>
    <t>ca4297ab-17fc-434d-9f02-90be2f24fa41</t>
  </si>
  <si>
    <t>Interesting painting month.</t>
  </si>
  <si>
    <t>55601f65-4ac9-4fbb-9b45-132b1308fca9</t>
  </si>
  <si>
    <t>white</t>
  </si>
  <si>
    <t>Jackson PLC</t>
  </si>
  <si>
    <t>818dc68a-7036-4587-91eb-dcd40f592762</t>
  </si>
  <si>
    <t>Picture building while reflect trouble.</t>
  </si>
  <si>
    <t>3985e0c8-ca6c-4c69-a576-bda383e1f21a</t>
  </si>
  <si>
    <t>realize</t>
  </si>
  <si>
    <t>Smith-Nichols</t>
  </si>
  <si>
    <t>5c6add43-2e77-4784-8d97-ebc7910a3699</t>
  </si>
  <si>
    <t>Three sea mention shake.</t>
  </si>
  <si>
    <t>81d24bc1-e001-4b56-a200-23c2f717f4b1</t>
  </si>
  <si>
    <t>body</t>
  </si>
  <si>
    <t>Knight LLC</t>
  </si>
  <si>
    <t>9e5f501a-69d2-426b-91b3-a76db0fbfee8</t>
  </si>
  <si>
    <t>Present drug certain blue hair.</t>
  </si>
  <si>
    <t>9f78c90a-7b77-48bc-a640-4ede68abede9</t>
  </si>
  <si>
    <t>data</t>
  </si>
  <si>
    <t>Clark-Hernandez</t>
  </si>
  <si>
    <t>58753ed3-5d03-4f8c-9c0d-a735c33344a9</t>
  </si>
  <si>
    <t>Generation church according food dark second eye.</t>
  </si>
  <si>
    <t>f66560fe-63e7-4ff3-96bc-1401e61532c1</t>
  </si>
  <si>
    <t>necessary</t>
  </si>
  <si>
    <t>Baker-Clark</t>
  </si>
  <si>
    <t>027fa46b-00ce-49e8-9453-2afead14d77c</t>
  </si>
  <si>
    <t>Individual me west yeah in bill idea.</t>
  </si>
  <si>
    <t>c88c0faf-28b6-4d4f-9bae-e4f5e06b4210</t>
  </si>
  <si>
    <t>industry</t>
  </si>
  <si>
    <t>Matthews, Gibson and Trevino</t>
  </si>
  <si>
    <t>79c4cd49-51c8-443d-9a77-d6218d72b41c</t>
  </si>
  <si>
    <t>Partner major his near money key hold.</t>
  </si>
  <si>
    <t>9bb3e5c5-0070-478c-becd-6e00147d6ede</t>
  </si>
  <si>
    <t>Rodriguez Ltd</t>
  </si>
  <si>
    <t>a7befb8b-9dde-4248-9120-aa720add7fbe</t>
  </si>
  <si>
    <t>Wonder loss increase seem choice.</t>
  </si>
  <si>
    <t>24318d47-7506-4979-8950-6bdcc9fa3d76</t>
  </si>
  <si>
    <t>be</t>
  </si>
  <si>
    <t>Pham-Fuentes</t>
  </si>
  <si>
    <t>3c9409a4-5f44-48e3-951f-01a44989131d</t>
  </si>
  <si>
    <t>Moment bring source morning end degree.</t>
  </si>
  <si>
    <t>c22a3730-a42a-48ae-b7aa-82e5b6d493a1</t>
  </si>
  <si>
    <t>Mosley LLC</t>
  </si>
  <si>
    <t>3c18fb01-fb98-4c2f-bbbf-31b7d371a879</t>
  </si>
  <si>
    <t>Without full matter country.</t>
  </si>
  <si>
    <t>43351774-f9bf-4eac-990a-6aa58c05a60e</t>
  </si>
  <si>
    <t>foot</t>
  </si>
  <si>
    <t>Poole, Mckenzie and Cole</t>
  </si>
  <si>
    <t>cb71d8d7-fcf6-4fd4-91cc-f013f9a82f0a</t>
  </si>
  <si>
    <t>Employee if film.</t>
  </si>
  <si>
    <t>498f28bc-b6d1-4ac2-b619-3bb7b5b0221d</t>
  </si>
  <si>
    <t>in</t>
  </si>
  <si>
    <t>Duran PLC</t>
  </si>
  <si>
    <t>661c935b-2f84-4dbf-9b3c-e9cd1c2d8c74</t>
  </si>
  <si>
    <t>Even tonight accept one follow.</t>
  </si>
  <si>
    <t>f4794633-49ce-40c5-9e07-fdd6fcc3b17e</t>
  </si>
  <si>
    <t>back</t>
  </si>
  <si>
    <t>Fisher, Stewart and Smith</t>
  </si>
  <si>
    <t>436c671a-674c-4805-8d39-736e9d15f4a3</t>
  </si>
  <si>
    <t>Type system community measure surface.</t>
  </si>
  <si>
    <t>426ed71a-8b91-44f8-8ab5-17d9919147e3</t>
  </si>
  <si>
    <t>age</t>
  </si>
  <si>
    <t>Whitney-Henry</t>
  </si>
  <si>
    <t>5569d618-7db2-4692-814f-c702dc08ef1d</t>
  </si>
  <si>
    <t>Deal fear natural no coach phone food.</t>
  </si>
  <si>
    <t>7c2e3ec9-86af-4d12-a63c-16f7a260a8cc</t>
  </si>
  <si>
    <t>however</t>
  </si>
  <si>
    <t>Mccarty, Williams and Hoffman</t>
  </si>
  <si>
    <t>2418a723-7fab-498f-814e-c19951193315</t>
  </si>
  <si>
    <t>Personal whole glass million every under have.</t>
  </si>
  <si>
    <t>d7a4103c-a277-4390-8d8d-9f0e8e17965e</t>
  </si>
  <si>
    <t>drop</t>
  </si>
  <si>
    <t>White-Valdez</t>
  </si>
  <si>
    <t>f6a6e93a-eb83-4d20-a60f-b1d5a2cd55bd</t>
  </si>
  <si>
    <t>Democratic easy administration for soldier.</t>
  </si>
  <si>
    <t>93ee15cd-d2ed-4e9d-9d85-d0452e31d710</t>
  </si>
  <si>
    <t>glass</t>
  </si>
  <si>
    <t>Thompson-Cooper</t>
  </si>
  <si>
    <t>a328f7fe-3681-446e-a5b8-e9f3fd0401f5</t>
  </si>
  <si>
    <t>Feeling available feel material.</t>
  </si>
  <si>
    <t>817241f6-c7a2-48b1-b0d4-642e9990b728</t>
  </si>
  <si>
    <t>under</t>
  </si>
  <si>
    <t>Nixon-Lambert</t>
  </si>
  <si>
    <t>a8b226ca-333e-4e8a-80bc-7f26b93fdb20</t>
  </si>
  <si>
    <t>Dog science else movie do class community.</t>
  </si>
  <si>
    <t>581e98b7-28b4-44ff-9685-4d1bb6780b1f</t>
  </si>
  <si>
    <t>federal</t>
  </si>
  <si>
    <t>Meyers, Reyes and Boyer</t>
  </si>
  <si>
    <t>71b2765a-42c8-474b-9e3e-e30c9b8b9c92</t>
  </si>
  <si>
    <t>Thing under financial lead once themselves.</t>
  </si>
  <si>
    <t>012127f5-a141-47a9-9498-83c56a5df009</t>
  </si>
  <si>
    <t>fight</t>
  </si>
  <si>
    <t>Anderson Inc</t>
  </si>
  <si>
    <t>5650d9f5-45bc-4c18-b24b-0bbeef5938b0</t>
  </si>
  <si>
    <t>Use close issue church employee.</t>
  </si>
  <si>
    <t>e06c2a1f-a868-4c02-ac52-03eed5262ad6</t>
  </si>
  <si>
    <t>stand</t>
  </si>
  <si>
    <t>Johnson-Smith</t>
  </si>
  <si>
    <t>079f66ca-f9de-444f-ae7a-5e5eb9ca47eb</t>
  </si>
  <si>
    <t>Box certainly list building lay born.</t>
  </si>
  <si>
    <t>de2c987f-af5d-466a-9fff-b625cf3648a8</t>
  </si>
  <si>
    <t>church</t>
  </si>
  <si>
    <t>Mullen, Hopkins and Sullivan</t>
  </si>
  <si>
    <t>eef9bcf6-3846-4969-86eb-2a7cc5a473c3</t>
  </si>
  <si>
    <t>Test himself itself feel consumer.</t>
  </si>
  <si>
    <t>d7bff757-fb10-48f3-b9a4-58cb4bbaf696</t>
  </si>
  <si>
    <t>accept</t>
  </si>
  <si>
    <t>Thompson Inc</t>
  </si>
  <si>
    <t>5cfe5fad-a179-4997-8325-6c73070beec6</t>
  </si>
  <si>
    <t>International tend board traditional which.</t>
  </si>
  <si>
    <t>9d71fb92-8a8f-42c3-a254-3664631de521</t>
  </si>
  <si>
    <t>front</t>
  </si>
  <si>
    <t>Castro-Torres</t>
  </si>
  <si>
    <t>40599bb3-ddb8-4745-8c03-9ba1150be2c2</t>
  </si>
  <si>
    <t>National trade note already local time.</t>
  </si>
  <si>
    <t>Duplicate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</si>
</sst>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1F1F1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101"/>
  <sheetViews>
    <sheetView topLeftCell="F1" zoomScaleNormal="100" workbookViewId="0">
      <pane ySplit="1" topLeftCell="A2" activePane="bottomLeft" state="frozen"/>
      <selection pane="bottomLeft" activeCell="H112" sqref="H112"/>
    </sheetView>
  </sheetViews>
  <sheetFormatPr defaultRowHeight="14.4" x14ac:dyDescent="0.3"/>
  <cols>
    <col min="1" max="1" width="38" customWidth="1"/>
    <col min="2" max="2" width="16" customWidth="1"/>
    <col min="3" max="3" width="17" customWidth="1"/>
    <col min="4" max="5" width="12" customWidth="1"/>
    <col min="6" max="6" width="35" customWidth="1"/>
    <col min="7" max="8" width="38" customWidth="1"/>
    <col min="9" max="11" width="12" customWidth="1"/>
    <col min="12" max="12" width="20" customWidth="1"/>
    <col min="13" max="13" width="22" customWidth="1"/>
    <col min="14" max="14" width="18" customWidth="1"/>
    <col min="15" max="18" width="12" customWidth="1"/>
  </cols>
  <sheetData>
    <row r="1" spans="1:18" ht="30" customHeight="1" x14ac:dyDescent="0.3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2"/>
      <c r="J1" s="2"/>
      <c r="K1" s="2"/>
      <c r="L1" s="2" t="s">
        <v>18</v>
      </c>
      <c r="M1" s="2" t="s">
        <v>19</v>
      </c>
      <c r="N1" s="2" t="s">
        <v>20</v>
      </c>
      <c r="O1" s="2"/>
      <c r="P1" s="2"/>
      <c r="Q1" s="2"/>
      <c r="R1" s="2"/>
    </row>
    <row r="2" spans="1:18" hidden="1" x14ac:dyDescent="0.3">
      <c r="A2" t="s">
        <v>21</v>
      </c>
      <c r="B2" t="s">
        <v>22</v>
      </c>
      <c r="C2" t="s">
        <v>23</v>
      </c>
      <c r="D2">
        <v>352.18</v>
      </c>
      <c r="E2">
        <v>111</v>
      </c>
      <c r="F2" t="s">
        <v>24</v>
      </c>
      <c r="G2" t="s">
        <v>25</v>
      </c>
      <c r="H2" t="s">
        <v>26</v>
      </c>
      <c r="L2">
        <f t="shared" ref="L2:L33" si="0">COUNTIF($B$2:$B$101,B2)</f>
        <v>1</v>
      </c>
      <c r="M2">
        <f t="shared" ref="M2:M33" si="1">IF(L2&gt;1,1,0)</f>
        <v>0</v>
      </c>
      <c r="N2" t="str">
        <f t="shared" ref="N2:N33" si="2">IF(L2&gt;1,"Duplicate","Unique")</f>
        <v>Unique</v>
      </c>
    </row>
    <row r="3" spans="1:18" hidden="1" x14ac:dyDescent="0.3">
      <c r="A3" t="s">
        <v>27</v>
      </c>
      <c r="B3" t="s">
        <v>28</v>
      </c>
      <c r="C3" t="s">
        <v>29</v>
      </c>
      <c r="D3">
        <v>697.65</v>
      </c>
      <c r="E3">
        <v>229</v>
      </c>
      <c r="F3" t="s">
        <v>30</v>
      </c>
      <c r="G3" t="s">
        <v>31</v>
      </c>
      <c r="H3" t="s">
        <v>32</v>
      </c>
      <c r="L3">
        <f t="shared" si="0"/>
        <v>1</v>
      </c>
      <c r="M3">
        <f t="shared" si="1"/>
        <v>0</v>
      </c>
      <c r="N3" t="str">
        <f t="shared" si="2"/>
        <v>Unique</v>
      </c>
    </row>
    <row r="4" spans="1:18" hidden="1" x14ac:dyDescent="0.3">
      <c r="A4" t="s">
        <v>33</v>
      </c>
      <c r="B4" t="s">
        <v>34</v>
      </c>
      <c r="C4" t="s">
        <v>23</v>
      </c>
      <c r="D4">
        <v>836.31</v>
      </c>
      <c r="E4">
        <v>113</v>
      </c>
      <c r="F4" t="s">
        <v>35</v>
      </c>
      <c r="G4" t="s">
        <v>36</v>
      </c>
      <c r="H4" t="s">
        <v>37</v>
      </c>
      <c r="L4">
        <f t="shared" si="0"/>
        <v>1</v>
      </c>
      <c r="M4">
        <f t="shared" si="1"/>
        <v>0</v>
      </c>
      <c r="N4" t="str">
        <f t="shared" si="2"/>
        <v>Unique</v>
      </c>
    </row>
    <row r="5" spans="1:18" hidden="1" x14ac:dyDescent="0.3">
      <c r="A5" t="s">
        <v>38</v>
      </c>
      <c r="B5" t="s">
        <v>39</v>
      </c>
      <c r="C5" t="s">
        <v>40</v>
      </c>
      <c r="D5">
        <v>972.55</v>
      </c>
      <c r="E5">
        <v>218</v>
      </c>
      <c r="F5" t="s">
        <v>41</v>
      </c>
      <c r="G5" t="s">
        <v>42</v>
      </c>
      <c r="H5" t="s">
        <v>43</v>
      </c>
      <c r="L5">
        <f t="shared" si="0"/>
        <v>1</v>
      </c>
      <c r="M5">
        <f t="shared" si="1"/>
        <v>0</v>
      </c>
      <c r="N5" t="str">
        <f t="shared" si="2"/>
        <v>Unique</v>
      </c>
    </row>
    <row r="6" spans="1:18" hidden="1" x14ac:dyDescent="0.3">
      <c r="A6" t="s">
        <v>44</v>
      </c>
      <c r="B6" t="s">
        <v>45</v>
      </c>
      <c r="C6" t="s">
        <v>40</v>
      </c>
      <c r="D6">
        <v>625.47</v>
      </c>
      <c r="E6">
        <v>500</v>
      </c>
      <c r="F6" t="s">
        <v>46</v>
      </c>
      <c r="G6" t="s">
        <v>47</v>
      </c>
      <c r="H6" t="s">
        <v>48</v>
      </c>
      <c r="L6">
        <f t="shared" si="0"/>
        <v>1</v>
      </c>
      <c r="M6">
        <f t="shared" si="1"/>
        <v>0</v>
      </c>
      <c r="N6" t="str">
        <f t="shared" si="2"/>
        <v>Unique</v>
      </c>
    </row>
    <row r="7" spans="1:18" hidden="1" x14ac:dyDescent="0.3">
      <c r="A7" t="s">
        <v>49</v>
      </c>
      <c r="B7" t="s">
        <v>50</v>
      </c>
      <c r="C7" t="s">
        <v>51</v>
      </c>
      <c r="D7">
        <v>314.89</v>
      </c>
      <c r="E7">
        <v>301</v>
      </c>
      <c r="F7" t="s">
        <v>52</v>
      </c>
      <c r="G7" t="s">
        <v>53</v>
      </c>
      <c r="H7" t="s">
        <v>54</v>
      </c>
      <c r="L7">
        <f t="shared" si="0"/>
        <v>1</v>
      </c>
      <c r="M7">
        <f t="shared" si="1"/>
        <v>0</v>
      </c>
      <c r="N7" t="str">
        <f t="shared" si="2"/>
        <v>Unique</v>
      </c>
    </row>
    <row r="8" spans="1:18" hidden="1" x14ac:dyDescent="0.3">
      <c r="A8" t="s">
        <v>55</v>
      </c>
      <c r="B8" t="s">
        <v>56</v>
      </c>
      <c r="C8" t="s">
        <v>57</v>
      </c>
      <c r="D8">
        <v>304.74</v>
      </c>
      <c r="E8">
        <v>260</v>
      </c>
      <c r="F8" t="s">
        <v>58</v>
      </c>
      <c r="G8" t="s">
        <v>59</v>
      </c>
      <c r="H8" t="s">
        <v>60</v>
      </c>
      <c r="L8">
        <f t="shared" si="0"/>
        <v>1</v>
      </c>
      <c r="M8">
        <f t="shared" si="1"/>
        <v>0</v>
      </c>
      <c r="N8" t="str">
        <f t="shared" si="2"/>
        <v>Unique</v>
      </c>
    </row>
    <row r="9" spans="1:18" hidden="1" x14ac:dyDescent="0.3">
      <c r="A9" t="s">
        <v>61</v>
      </c>
      <c r="B9" t="s">
        <v>62</v>
      </c>
      <c r="C9" t="s">
        <v>51</v>
      </c>
      <c r="D9">
        <v>598.65</v>
      </c>
      <c r="E9">
        <v>253</v>
      </c>
      <c r="F9" t="s">
        <v>63</v>
      </c>
      <c r="G9" t="s">
        <v>64</v>
      </c>
      <c r="H9" t="s">
        <v>65</v>
      </c>
      <c r="L9">
        <f t="shared" si="0"/>
        <v>1</v>
      </c>
      <c r="M9">
        <f t="shared" si="1"/>
        <v>0</v>
      </c>
      <c r="N9" t="str">
        <f t="shared" si="2"/>
        <v>Unique</v>
      </c>
    </row>
    <row r="10" spans="1:18" hidden="1" x14ac:dyDescent="0.3">
      <c r="A10" t="s">
        <v>66</v>
      </c>
      <c r="B10" t="s">
        <v>67</v>
      </c>
      <c r="C10" t="s">
        <v>40</v>
      </c>
      <c r="D10">
        <v>673.36</v>
      </c>
      <c r="E10">
        <v>359</v>
      </c>
      <c r="F10" t="s">
        <v>68</v>
      </c>
      <c r="G10" t="s">
        <v>69</v>
      </c>
      <c r="H10" t="s">
        <v>70</v>
      </c>
      <c r="L10">
        <f t="shared" si="0"/>
        <v>1</v>
      </c>
      <c r="M10">
        <f t="shared" si="1"/>
        <v>0</v>
      </c>
      <c r="N10" t="str">
        <f t="shared" si="2"/>
        <v>Unique</v>
      </c>
    </row>
    <row r="11" spans="1:18" x14ac:dyDescent="0.3">
      <c r="A11" t="s">
        <v>71</v>
      </c>
      <c r="B11" t="s">
        <v>72</v>
      </c>
      <c r="C11" t="s">
        <v>57</v>
      </c>
      <c r="D11">
        <v>748.84</v>
      </c>
      <c r="E11">
        <v>109</v>
      </c>
      <c r="F11" t="s">
        <v>73</v>
      </c>
      <c r="G11" t="s">
        <v>74</v>
      </c>
      <c r="H11" t="s">
        <v>75</v>
      </c>
      <c r="L11">
        <f t="shared" si="0"/>
        <v>2</v>
      </c>
      <c r="M11">
        <f t="shared" si="1"/>
        <v>1</v>
      </c>
      <c r="N11" t="str">
        <f t="shared" si="2"/>
        <v>Duplicate</v>
      </c>
    </row>
    <row r="12" spans="1:18" hidden="1" x14ac:dyDescent="0.3">
      <c r="A12" t="s">
        <v>76</v>
      </c>
      <c r="B12" t="s">
        <v>77</v>
      </c>
      <c r="C12" t="s">
        <v>23</v>
      </c>
      <c r="D12">
        <v>778</v>
      </c>
      <c r="E12">
        <v>441</v>
      </c>
      <c r="F12" t="s">
        <v>78</v>
      </c>
      <c r="G12" t="s">
        <v>79</v>
      </c>
      <c r="H12" t="s">
        <v>80</v>
      </c>
      <c r="L12">
        <f t="shared" si="0"/>
        <v>1</v>
      </c>
      <c r="M12">
        <f t="shared" si="1"/>
        <v>0</v>
      </c>
      <c r="N12" t="str">
        <f t="shared" si="2"/>
        <v>Unique</v>
      </c>
    </row>
    <row r="13" spans="1:18" hidden="1" x14ac:dyDescent="0.3">
      <c r="A13" t="s">
        <v>81</v>
      </c>
      <c r="B13" t="s">
        <v>82</v>
      </c>
      <c r="C13" t="s">
        <v>23</v>
      </c>
      <c r="D13">
        <v>440.76</v>
      </c>
      <c r="E13">
        <v>41</v>
      </c>
      <c r="F13" t="s">
        <v>83</v>
      </c>
      <c r="G13" t="s">
        <v>84</v>
      </c>
      <c r="H13" t="s">
        <v>85</v>
      </c>
      <c r="L13">
        <f t="shared" si="0"/>
        <v>1</v>
      </c>
      <c r="M13">
        <f t="shared" si="1"/>
        <v>0</v>
      </c>
      <c r="N13" t="str">
        <f t="shared" si="2"/>
        <v>Unique</v>
      </c>
    </row>
    <row r="14" spans="1:18" hidden="1" x14ac:dyDescent="0.3">
      <c r="A14" t="s">
        <v>86</v>
      </c>
      <c r="B14" t="s">
        <v>87</v>
      </c>
      <c r="C14" t="s">
        <v>51</v>
      </c>
      <c r="D14">
        <v>24.68</v>
      </c>
      <c r="E14">
        <v>164</v>
      </c>
      <c r="F14" t="s">
        <v>88</v>
      </c>
      <c r="G14" t="s">
        <v>89</v>
      </c>
      <c r="H14" t="s">
        <v>90</v>
      </c>
      <c r="L14">
        <f t="shared" si="0"/>
        <v>1</v>
      </c>
      <c r="M14">
        <f t="shared" si="1"/>
        <v>0</v>
      </c>
      <c r="N14" t="str">
        <f t="shared" si="2"/>
        <v>Unique</v>
      </c>
    </row>
    <row r="15" spans="1:18" hidden="1" x14ac:dyDescent="0.3">
      <c r="A15" t="s">
        <v>91</v>
      </c>
      <c r="B15" t="s">
        <v>92</v>
      </c>
      <c r="C15" t="s">
        <v>23</v>
      </c>
      <c r="D15">
        <v>677.32</v>
      </c>
      <c r="E15">
        <v>389</v>
      </c>
      <c r="F15" t="s">
        <v>93</v>
      </c>
      <c r="G15" t="s">
        <v>94</v>
      </c>
      <c r="H15" t="s">
        <v>95</v>
      </c>
      <c r="L15">
        <f t="shared" si="0"/>
        <v>1</v>
      </c>
      <c r="M15">
        <f t="shared" si="1"/>
        <v>0</v>
      </c>
      <c r="N15" t="str">
        <f t="shared" si="2"/>
        <v>Unique</v>
      </c>
    </row>
    <row r="16" spans="1:18" hidden="1" x14ac:dyDescent="0.3">
      <c r="A16" t="s">
        <v>96</v>
      </c>
      <c r="B16" t="s">
        <v>97</v>
      </c>
      <c r="C16" t="s">
        <v>23</v>
      </c>
      <c r="D16">
        <v>940.58</v>
      </c>
      <c r="E16">
        <v>376</v>
      </c>
      <c r="F16" t="s">
        <v>98</v>
      </c>
      <c r="G16" t="s">
        <v>99</v>
      </c>
      <c r="H16" t="s">
        <v>100</v>
      </c>
      <c r="L16">
        <f t="shared" si="0"/>
        <v>1</v>
      </c>
      <c r="M16">
        <f t="shared" si="1"/>
        <v>0</v>
      </c>
      <c r="N16" t="str">
        <f t="shared" si="2"/>
        <v>Unique</v>
      </c>
    </row>
    <row r="17" spans="1:14" hidden="1" x14ac:dyDescent="0.3">
      <c r="A17" t="s">
        <v>101</v>
      </c>
      <c r="B17" t="s">
        <v>102</v>
      </c>
      <c r="C17" t="s">
        <v>23</v>
      </c>
      <c r="D17">
        <v>651.82000000000005</v>
      </c>
      <c r="E17">
        <v>263</v>
      </c>
      <c r="F17" t="s">
        <v>103</v>
      </c>
      <c r="G17" t="s">
        <v>104</v>
      </c>
      <c r="H17" t="s">
        <v>105</v>
      </c>
      <c r="L17">
        <f t="shared" si="0"/>
        <v>1</v>
      </c>
      <c r="M17">
        <f t="shared" si="1"/>
        <v>0</v>
      </c>
      <c r="N17" t="str">
        <f t="shared" si="2"/>
        <v>Unique</v>
      </c>
    </row>
    <row r="18" spans="1:14" x14ac:dyDescent="0.3">
      <c r="A18" t="s">
        <v>106</v>
      </c>
      <c r="B18" t="s">
        <v>107</v>
      </c>
      <c r="C18" t="s">
        <v>57</v>
      </c>
      <c r="D18">
        <v>727.77</v>
      </c>
      <c r="E18">
        <v>135</v>
      </c>
      <c r="F18" t="s">
        <v>108</v>
      </c>
      <c r="G18" t="s">
        <v>109</v>
      </c>
      <c r="H18" t="s">
        <v>110</v>
      </c>
      <c r="L18">
        <f t="shared" si="0"/>
        <v>2</v>
      </c>
      <c r="M18">
        <f t="shared" si="1"/>
        <v>1</v>
      </c>
      <c r="N18" t="str">
        <f t="shared" si="2"/>
        <v>Duplicate</v>
      </c>
    </row>
    <row r="19" spans="1:14" hidden="1" x14ac:dyDescent="0.3">
      <c r="A19" t="s">
        <v>111</v>
      </c>
      <c r="B19" t="s">
        <v>112</v>
      </c>
      <c r="C19" t="s">
        <v>23</v>
      </c>
      <c r="D19">
        <v>172.2</v>
      </c>
      <c r="E19">
        <v>488</v>
      </c>
      <c r="F19" t="s">
        <v>113</v>
      </c>
      <c r="G19" t="s">
        <v>114</v>
      </c>
      <c r="H19" t="s">
        <v>115</v>
      </c>
      <c r="L19">
        <f t="shared" si="0"/>
        <v>1</v>
      </c>
      <c r="M19">
        <f t="shared" si="1"/>
        <v>0</v>
      </c>
      <c r="N19" t="str">
        <f t="shared" si="2"/>
        <v>Unique</v>
      </c>
    </row>
    <row r="20" spans="1:14" hidden="1" x14ac:dyDescent="0.3">
      <c r="A20" t="s">
        <v>116</v>
      </c>
      <c r="B20" t="s">
        <v>117</v>
      </c>
      <c r="C20" t="s">
        <v>118</v>
      </c>
      <c r="D20">
        <v>734.71</v>
      </c>
      <c r="E20">
        <v>385</v>
      </c>
      <c r="F20" t="s">
        <v>119</v>
      </c>
      <c r="G20" t="s">
        <v>120</v>
      </c>
      <c r="H20" t="s">
        <v>121</v>
      </c>
      <c r="L20">
        <f t="shared" si="0"/>
        <v>1</v>
      </c>
      <c r="M20">
        <f t="shared" si="1"/>
        <v>0</v>
      </c>
      <c r="N20" t="str">
        <f t="shared" si="2"/>
        <v>Unique</v>
      </c>
    </row>
    <row r="21" spans="1:14" hidden="1" x14ac:dyDescent="0.3">
      <c r="A21" t="s">
        <v>122</v>
      </c>
      <c r="B21" t="s">
        <v>123</v>
      </c>
      <c r="C21" t="s">
        <v>57</v>
      </c>
      <c r="D21">
        <v>562.80999999999995</v>
      </c>
      <c r="E21">
        <v>8</v>
      </c>
      <c r="F21" t="s">
        <v>124</v>
      </c>
      <c r="G21" t="s">
        <v>125</v>
      </c>
      <c r="H21" t="s">
        <v>126</v>
      </c>
      <c r="L21">
        <f t="shared" si="0"/>
        <v>1</v>
      </c>
      <c r="M21">
        <f t="shared" si="1"/>
        <v>0</v>
      </c>
      <c r="N21" t="str">
        <f t="shared" si="2"/>
        <v>Unique</v>
      </c>
    </row>
    <row r="22" spans="1:14" hidden="1" x14ac:dyDescent="0.3">
      <c r="A22" t="s">
        <v>127</v>
      </c>
      <c r="B22" t="s">
        <v>128</v>
      </c>
      <c r="C22" t="s">
        <v>118</v>
      </c>
      <c r="D22">
        <v>50.07</v>
      </c>
      <c r="E22">
        <v>227</v>
      </c>
      <c r="F22" t="s">
        <v>129</v>
      </c>
      <c r="G22" t="s">
        <v>130</v>
      </c>
      <c r="H22" t="s">
        <v>131</v>
      </c>
      <c r="L22">
        <f t="shared" si="0"/>
        <v>1</v>
      </c>
      <c r="M22">
        <f t="shared" si="1"/>
        <v>0</v>
      </c>
      <c r="N22" t="str">
        <f t="shared" si="2"/>
        <v>Unique</v>
      </c>
    </row>
    <row r="23" spans="1:14" hidden="1" x14ac:dyDescent="0.3">
      <c r="A23" t="s">
        <v>132</v>
      </c>
      <c r="B23" t="s">
        <v>133</v>
      </c>
      <c r="C23" t="s">
        <v>118</v>
      </c>
      <c r="D23">
        <v>189.27</v>
      </c>
      <c r="E23">
        <v>438</v>
      </c>
      <c r="F23" t="s">
        <v>134</v>
      </c>
      <c r="G23" t="s">
        <v>135</v>
      </c>
      <c r="H23" t="s">
        <v>136</v>
      </c>
      <c r="L23">
        <f t="shared" si="0"/>
        <v>1</v>
      </c>
      <c r="M23">
        <f t="shared" si="1"/>
        <v>0</v>
      </c>
      <c r="N23" t="str">
        <f t="shared" si="2"/>
        <v>Unique</v>
      </c>
    </row>
    <row r="24" spans="1:14" hidden="1" x14ac:dyDescent="0.3">
      <c r="A24" t="s">
        <v>137</v>
      </c>
      <c r="B24" t="s">
        <v>138</v>
      </c>
      <c r="C24" t="s">
        <v>118</v>
      </c>
      <c r="D24">
        <v>585.75</v>
      </c>
      <c r="E24">
        <v>12</v>
      </c>
      <c r="F24" t="s">
        <v>139</v>
      </c>
      <c r="G24" t="s">
        <v>140</v>
      </c>
      <c r="H24" t="s">
        <v>141</v>
      </c>
      <c r="L24">
        <f t="shared" si="0"/>
        <v>1</v>
      </c>
      <c r="M24">
        <f t="shared" si="1"/>
        <v>0</v>
      </c>
      <c r="N24" t="str">
        <f t="shared" si="2"/>
        <v>Unique</v>
      </c>
    </row>
    <row r="25" spans="1:14" hidden="1" x14ac:dyDescent="0.3">
      <c r="A25" t="s">
        <v>142</v>
      </c>
      <c r="B25" t="s">
        <v>143</v>
      </c>
      <c r="C25" t="s">
        <v>51</v>
      </c>
      <c r="D25">
        <v>980.12</v>
      </c>
      <c r="E25">
        <v>351</v>
      </c>
      <c r="F25" t="s">
        <v>144</v>
      </c>
      <c r="G25" t="s">
        <v>145</v>
      </c>
      <c r="H25" t="s">
        <v>146</v>
      </c>
      <c r="L25">
        <f t="shared" si="0"/>
        <v>1</v>
      </c>
      <c r="M25">
        <f t="shared" si="1"/>
        <v>0</v>
      </c>
      <c r="N25" t="str">
        <f t="shared" si="2"/>
        <v>Unique</v>
      </c>
    </row>
    <row r="26" spans="1:14" hidden="1" x14ac:dyDescent="0.3">
      <c r="A26" t="s">
        <v>147</v>
      </c>
      <c r="B26" t="s">
        <v>148</v>
      </c>
      <c r="C26" t="s">
        <v>57</v>
      </c>
      <c r="D26">
        <v>204.35</v>
      </c>
      <c r="E26">
        <v>135</v>
      </c>
      <c r="F26" t="s">
        <v>149</v>
      </c>
      <c r="G26" t="s">
        <v>150</v>
      </c>
      <c r="H26" t="s">
        <v>151</v>
      </c>
      <c r="L26">
        <f t="shared" si="0"/>
        <v>1</v>
      </c>
      <c r="M26">
        <f t="shared" si="1"/>
        <v>0</v>
      </c>
      <c r="N26" t="str">
        <f t="shared" si="2"/>
        <v>Unique</v>
      </c>
    </row>
    <row r="27" spans="1:14" hidden="1" x14ac:dyDescent="0.3">
      <c r="A27" t="s">
        <v>152</v>
      </c>
      <c r="B27" t="s">
        <v>153</v>
      </c>
      <c r="C27" t="s">
        <v>29</v>
      </c>
      <c r="D27">
        <v>986.49</v>
      </c>
      <c r="E27">
        <v>319</v>
      </c>
      <c r="F27" t="s">
        <v>154</v>
      </c>
      <c r="G27" t="s">
        <v>155</v>
      </c>
      <c r="H27" t="s">
        <v>156</v>
      </c>
      <c r="L27">
        <f t="shared" si="0"/>
        <v>1</v>
      </c>
      <c r="M27">
        <f t="shared" si="1"/>
        <v>0</v>
      </c>
      <c r="N27" t="str">
        <f t="shared" si="2"/>
        <v>Unique</v>
      </c>
    </row>
    <row r="28" spans="1:14" hidden="1" x14ac:dyDescent="0.3">
      <c r="A28" t="s">
        <v>157</v>
      </c>
      <c r="B28" t="s">
        <v>158</v>
      </c>
      <c r="C28" t="s">
        <v>51</v>
      </c>
      <c r="D28">
        <v>947.87</v>
      </c>
      <c r="E28">
        <v>7</v>
      </c>
      <c r="F28" t="s">
        <v>159</v>
      </c>
      <c r="G28" t="s">
        <v>160</v>
      </c>
      <c r="H28" t="s">
        <v>161</v>
      </c>
      <c r="L28">
        <f t="shared" si="0"/>
        <v>1</v>
      </c>
      <c r="M28">
        <f t="shared" si="1"/>
        <v>0</v>
      </c>
      <c r="N28" t="str">
        <f t="shared" si="2"/>
        <v>Unique</v>
      </c>
    </row>
    <row r="29" spans="1:14" x14ac:dyDescent="0.3">
      <c r="A29" t="s">
        <v>162</v>
      </c>
      <c r="B29" t="s">
        <v>163</v>
      </c>
      <c r="C29" t="s">
        <v>51</v>
      </c>
      <c r="D29">
        <v>709.84</v>
      </c>
      <c r="E29">
        <v>167</v>
      </c>
      <c r="F29" t="s">
        <v>164</v>
      </c>
      <c r="G29" t="s">
        <v>165</v>
      </c>
      <c r="H29" t="s">
        <v>166</v>
      </c>
      <c r="L29">
        <f t="shared" si="0"/>
        <v>2</v>
      </c>
      <c r="M29">
        <f t="shared" si="1"/>
        <v>1</v>
      </c>
      <c r="N29" t="str">
        <f t="shared" si="2"/>
        <v>Duplicate</v>
      </c>
    </row>
    <row r="30" spans="1:14" hidden="1" x14ac:dyDescent="0.3">
      <c r="A30" t="s">
        <v>167</v>
      </c>
      <c r="B30" t="s">
        <v>168</v>
      </c>
      <c r="C30" t="s">
        <v>29</v>
      </c>
      <c r="D30">
        <v>900.19</v>
      </c>
      <c r="E30">
        <v>361</v>
      </c>
      <c r="F30" t="s">
        <v>169</v>
      </c>
      <c r="G30" t="s">
        <v>170</v>
      </c>
      <c r="H30" t="s">
        <v>171</v>
      </c>
      <c r="L30">
        <f t="shared" si="0"/>
        <v>1</v>
      </c>
      <c r="M30">
        <f t="shared" si="1"/>
        <v>0</v>
      </c>
      <c r="N30" t="str">
        <f t="shared" si="2"/>
        <v>Unique</v>
      </c>
    </row>
    <row r="31" spans="1:14" hidden="1" x14ac:dyDescent="0.3">
      <c r="A31" t="s">
        <v>172</v>
      </c>
      <c r="B31" t="s">
        <v>173</v>
      </c>
      <c r="C31" t="s">
        <v>23</v>
      </c>
      <c r="D31">
        <v>207.32</v>
      </c>
      <c r="E31">
        <v>337</v>
      </c>
      <c r="F31" t="s">
        <v>174</v>
      </c>
      <c r="G31" t="s">
        <v>175</v>
      </c>
      <c r="H31" t="s">
        <v>176</v>
      </c>
      <c r="L31">
        <f t="shared" si="0"/>
        <v>1</v>
      </c>
      <c r="M31">
        <f t="shared" si="1"/>
        <v>0</v>
      </c>
      <c r="N31" t="str">
        <f t="shared" si="2"/>
        <v>Unique</v>
      </c>
    </row>
    <row r="32" spans="1:14" hidden="1" x14ac:dyDescent="0.3">
      <c r="A32" t="s">
        <v>177</v>
      </c>
      <c r="B32" t="s">
        <v>178</v>
      </c>
      <c r="C32" t="s">
        <v>118</v>
      </c>
      <c r="D32">
        <v>974.96</v>
      </c>
      <c r="E32">
        <v>48</v>
      </c>
      <c r="F32" t="s">
        <v>179</v>
      </c>
      <c r="G32" t="s">
        <v>180</v>
      </c>
      <c r="H32" t="s">
        <v>181</v>
      </c>
      <c r="L32">
        <f t="shared" si="0"/>
        <v>1</v>
      </c>
      <c r="M32">
        <f t="shared" si="1"/>
        <v>0</v>
      </c>
      <c r="N32" t="str">
        <f t="shared" si="2"/>
        <v>Unique</v>
      </c>
    </row>
    <row r="33" spans="1:14" hidden="1" x14ac:dyDescent="0.3">
      <c r="A33" t="s">
        <v>182</v>
      </c>
      <c r="B33" t="s">
        <v>183</v>
      </c>
      <c r="C33" t="s">
        <v>23</v>
      </c>
      <c r="D33">
        <v>689.44</v>
      </c>
      <c r="E33">
        <v>409</v>
      </c>
      <c r="F33" t="s">
        <v>184</v>
      </c>
      <c r="G33" t="s">
        <v>185</v>
      </c>
      <c r="H33" t="s">
        <v>186</v>
      </c>
      <c r="L33">
        <f t="shared" si="0"/>
        <v>1</v>
      </c>
      <c r="M33">
        <f t="shared" si="1"/>
        <v>0</v>
      </c>
      <c r="N33" t="str">
        <f t="shared" si="2"/>
        <v>Unique</v>
      </c>
    </row>
    <row r="34" spans="1:14" hidden="1" x14ac:dyDescent="0.3">
      <c r="A34" t="s">
        <v>187</v>
      </c>
      <c r="B34" t="s">
        <v>188</v>
      </c>
      <c r="C34" t="s">
        <v>118</v>
      </c>
      <c r="D34">
        <v>364.11</v>
      </c>
      <c r="E34">
        <v>282</v>
      </c>
      <c r="F34" t="s">
        <v>189</v>
      </c>
      <c r="G34" t="s">
        <v>190</v>
      </c>
      <c r="H34" t="s">
        <v>191</v>
      </c>
      <c r="L34">
        <f t="shared" ref="L34:L65" si="3">COUNTIF($B$2:$B$101,B34)</f>
        <v>1</v>
      </c>
      <c r="M34">
        <f t="shared" ref="M34:M65" si="4">IF(L34&gt;1,1,0)</f>
        <v>0</v>
      </c>
      <c r="N34" t="str">
        <f t="shared" ref="N34:N65" si="5">IF(L34&gt;1,"Duplicate","Unique")</f>
        <v>Unique</v>
      </c>
    </row>
    <row r="35" spans="1:14" hidden="1" x14ac:dyDescent="0.3">
      <c r="A35" t="s">
        <v>192</v>
      </c>
      <c r="B35" t="s">
        <v>193</v>
      </c>
      <c r="C35" t="s">
        <v>51</v>
      </c>
      <c r="D35">
        <v>677.3</v>
      </c>
      <c r="E35">
        <v>462</v>
      </c>
      <c r="F35" t="s">
        <v>194</v>
      </c>
      <c r="G35" t="s">
        <v>195</v>
      </c>
      <c r="H35" t="s">
        <v>196</v>
      </c>
      <c r="L35">
        <f t="shared" si="3"/>
        <v>1</v>
      </c>
      <c r="M35">
        <f t="shared" si="4"/>
        <v>0</v>
      </c>
      <c r="N35" t="str">
        <f t="shared" si="5"/>
        <v>Unique</v>
      </c>
    </row>
    <row r="36" spans="1:14" hidden="1" x14ac:dyDescent="0.3">
      <c r="A36" t="s">
        <v>197</v>
      </c>
      <c r="B36" t="s">
        <v>198</v>
      </c>
      <c r="C36" t="s">
        <v>118</v>
      </c>
      <c r="D36">
        <v>245.77</v>
      </c>
      <c r="E36">
        <v>298</v>
      </c>
      <c r="F36" t="s">
        <v>199</v>
      </c>
      <c r="G36" t="s">
        <v>200</v>
      </c>
      <c r="H36" t="s">
        <v>201</v>
      </c>
      <c r="L36">
        <f t="shared" si="3"/>
        <v>1</v>
      </c>
      <c r="M36">
        <f t="shared" si="4"/>
        <v>0</v>
      </c>
      <c r="N36" t="str">
        <f t="shared" si="5"/>
        <v>Unique</v>
      </c>
    </row>
    <row r="37" spans="1:14" hidden="1" x14ac:dyDescent="0.3">
      <c r="A37" t="s">
        <v>202</v>
      </c>
      <c r="B37" t="s">
        <v>203</v>
      </c>
      <c r="C37" t="s">
        <v>118</v>
      </c>
      <c r="D37">
        <v>591.76</v>
      </c>
      <c r="E37">
        <v>123</v>
      </c>
      <c r="F37" t="s">
        <v>204</v>
      </c>
      <c r="G37" t="s">
        <v>205</v>
      </c>
      <c r="H37" t="s">
        <v>206</v>
      </c>
      <c r="L37">
        <f t="shared" si="3"/>
        <v>1</v>
      </c>
      <c r="M37">
        <f t="shared" si="4"/>
        <v>0</v>
      </c>
      <c r="N37" t="str">
        <f t="shared" si="5"/>
        <v>Unique</v>
      </c>
    </row>
    <row r="38" spans="1:14" hidden="1" x14ac:dyDescent="0.3">
      <c r="A38" t="s">
        <v>207</v>
      </c>
      <c r="B38" t="s">
        <v>208</v>
      </c>
      <c r="C38" t="s">
        <v>57</v>
      </c>
      <c r="D38">
        <v>739.81</v>
      </c>
      <c r="E38">
        <v>304</v>
      </c>
      <c r="F38" t="s">
        <v>209</v>
      </c>
      <c r="G38" t="s">
        <v>210</v>
      </c>
      <c r="H38" t="s">
        <v>211</v>
      </c>
      <c r="L38">
        <f t="shared" si="3"/>
        <v>1</v>
      </c>
      <c r="M38">
        <f t="shared" si="4"/>
        <v>0</v>
      </c>
      <c r="N38" t="str">
        <f t="shared" si="5"/>
        <v>Unique</v>
      </c>
    </row>
    <row r="39" spans="1:14" hidden="1" x14ac:dyDescent="0.3">
      <c r="A39" t="s">
        <v>212</v>
      </c>
      <c r="B39" t="s">
        <v>213</v>
      </c>
      <c r="C39" t="s">
        <v>23</v>
      </c>
      <c r="D39">
        <v>493.23</v>
      </c>
      <c r="E39">
        <v>456</v>
      </c>
      <c r="F39" t="s">
        <v>214</v>
      </c>
      <c r="G39" t="s">
        <v>215</v>
      </c>
      <c r="H39" t="s">
        <v>216</v>
      </c>
      <c r="L39">
        <f t="shared" si="3"/>
        <v>1</v>
      </c>
      <c r="M39">
        <f t="shared" si="4"/>
        <v>0</v>
      </c>
      <c r="N39" t="str">
        <f t="shared" si="5"/>
        <v>Unique</v>
      </c>
    </row>
    <row r="40" spans="1:14" hidden="1" x14ac:dyDescent="0.3">
      <c r="A40" t="s">
        <v>217</v>
      </c>
      <c r="B40" t="s">
        <v>218</v>
      </c>
      <c r="C40" t="s">
        <v>118</v>
      </c>
      <c r="D40">
        <v>939.53</v>
      </c>
      <c r="E40">
        <v>7</v>
      </c>
      <c r="F40" t="s">
        <v>219</v>
      </c>
      <c r="G40" t="s">
        <v>220</v>
      </c>
      <c r="H40" t="s">
        <v>221</v>
      </c>
      <c r="L40">
        <f t="shared" si="3"/>
        <v>1</v>
      </c>
      <c r="M40">
        <f t="shared" si="4"/>
        <v>0</v>
      </c>
      <c r="N40" t="str">
        <f t="shared" si="5"/>
        <v>Unique</v>
      </c>
    </row>
    <row r="41" spans="1:14" hidden="1" x14ac:dyDescent="0.3">
      <c r="A41" t="s">
        <v>222</v>
      </c>
      <c r="B41" t="s">
        <v>223</v>
      </c>
      <c r="C41" t="s">
        <v>40</v>
      </c>
      <c r="D41">
        <v>980.22</v>
      </c>
      <c r="E41">
        <v>307</v>
      </c>
      <c r="F41" t="s">
        <v>224</v>
      </c>
      <c r="G41" t="s">
        <v>225</v>
      </c>
      <c r="H41" t="s">
        <v>226</v>
      </c>
      <c r="L41">
        <f t="shared" si="3"/>
        <v>1</v>
      </c>
      <c r="M41">
        <f t="shared" si="4"/>
        <v>0</v>
      </c>
      <c r="N41" t="str">
        <f t="shared" si="5"/>
        <v>Unique</v>
      </c>
    </row>
    <row r="42" spans="1:14" hidden="1" x14ac:dyDescent="0.3">
      <c r="A42" t="s">
        <v>227</v>
      </c>
      <c r="B42" t="s">
        <v>228</v>
      </c>
      <c r="C42" t="s">
        <v>51</v>
      </c>
      <c r="D42">
        <v>309.97000000000003</v>
      </c>
      <c r="E42">
        <v>233</v>
      </c>
      <c r="F42" t="s">
        <v>229</v>
      </c>
      <c r="G42" t="s">
        <v>230</v>
      </c>
      <c r="H42" t="s">
        <v>231</v>
      </c>
      <c r="L42">
        <f t="shared" si="3"/>
        <v>1</v>
      </c>
      <c r="M42">
        <f t="shared" si="4"/>
        <v>0</v>
      </c>
      <c r="N42" t="str">
        <f t="shared" si="5"/>
        <v>Unique</v>
      </c>
    </row>
    <row r="43" spans="1:14" hidden="1" x14ac:dyDescent="0.3">
      <c r="A43" t="s">
        <v>232</v>
      </c>
      <c r="B43" t="s">
        <v>233</v>
      </c>
      <c r="C43" t="s">
        <v>23</v>
      </c>
      <c r="D43">
        <v>138.79</v>
      </c>
      <c r="E43">
        <v>66</v>
      </c>
      <c r="F43" t="s">
        <v>234</v>
      </c>
      <c r="G43" t="s">
        <v>235</v>
      </c>
      <c r="H43" t="s">
        <v>236</v>
      </c>
      <c r="L43">
        <f t="shared" si="3"/>
        <v>1</v>
      </c>
      <c r="M43">
        <f t="shared" si="4"/>
        <v>0</v>
      </c>
      <c r="N43" t="str">
        <f t="shared" si="5"/>
        <v>Unique</v>
      </c>
    </row>
    <row r="44" spans="1:14" hidden="1" x14ac:dyDescent="0.3">
      <c r="A44" t="s">
        <v>237</v>
      </c>
      <c r="B44" t="s">
        <v>238</v>
      </c>
      <c r="C44" t="s">
        <v>57</v>
      </c>
      <c r="D44">
        <v>318.45</v>
      </c>
      <c r="E44">
        <v>379</v>
      </c>
      <c r="F44" t="s">
        <v>239</v>
      </c>
      <c r="G44" t="s">
        <v>240</v>
      </c>
      <c r="H44" t="s">
        <v>241</v>
      </c>
      <c r="L44">
        <f t="shared" si="3"/>
        <v>1</v>
      </c>
      <c r="M44">
        <f t="shared" si="4"/>
        <v>0</v>
      </c>
      <c r="N44" t="str">
        <f t="shared" si="5"/>
        <v>Unique</v>
      </c>
    </row>
    <row r="45" spans="1:14" hidden="1" x14ac:dyDescent="0.3">
      <c r="A45" t="s">
        <v>242</v>
      </c>
      <c r="B45" t="s">
        <v>243</v>
      </c>
      <c r="C45" t="s">
        <v>29</v>
      </c>
      <c r="D45">
        <v>374.2</v>
      </c>
      <c r="E45">
        <v>30</v>
      </c>
      <c r="F45" t="s">
        <v>244</v>
      </c>
      <c r="G45" t="s">
        <v>245</v>
      </c>
      <c r="H45" t="s">
        <v>246</v>
      </c>
      <c r="L45">
        <f t="shared" si="3"/>
        <v>1</v>
      </c>
      <c r="M45">
        <f t="shared" si="4"/>
        <v>0</v>
      </c>
      <c r="N45" t="str">
        <f t="shared" si="5"/>
        <v>Unique</v>
      </c>
    </row>
    <row r="46" spans="1:14" hidden="1" x14ac:dyDescent="0.3">
      <c r="A46" t="s">
        <v>247</v>
      </c>
      <c r="B46" t="s">
        <v>248</v>
      </c>
      <c r="C46" t="s">
        <v>118</v>
      </c>
      <c r="D46">
        <v>930.22</v>
      </c>
      <c r="E46">
        <v>380</v>
      </c>
      <c r="F46" t="s">
        <v>249</v>
      </c>
      <c r="G46" t="s">
        <v>250</v>
      </c>
      <c r="H46" t="s">
        <v>251</v>
      </c>
      <c r="L46">
        <f t="shared" si="3"/>
        <v>1</v>
      </c>
      <c r="M46">
        <f t="shared" si="4"/>
        <v>0</v>
      </c>
      <c r="N46" t="str">
        <f t="shared" si="5"/>
        <v>Unique</v>
      </c>
    </row>
    <row r="47" spans="1:14" x14ac:dyDescent="0.3">
      <c r="A47" t="s">
        <v>252</v>
      </c>
      <c r="B47" t="s">
        <v>72</v>
      </c>
      <c r="C47" t="s">
        <v>40</v>
      </c>
      <c r="D47">
        <v>616.08000000000004</v>
      </c>
      <c r="E47">
        <v>154</v>
      </c>
      <c r="F47" t="s">
        <v>253</v>
      </c>
      <c r="G47" t="s">
        <v>254</v>
      </c>
      <c r="H47" t="s">
        <v>255</v>
      </c>
      <c r="L47">
        <f t="shared" si="3"/>
        <v>2</v>
      </c>
      <c r="M47">
        <f t="shared" si="4"/>
        <v>1</v>
      </c>
      <c r="N47" t="str">
        <f t="shared" si="5"/>
        <v>Duplicate</v>
      </c>
    </row>
    <row r="48" spans="1:14" x14ac:dyDescent="0.3">
      <c r="A48" t="s">
        <v>256</v>
      </c>
      <c r="B48" t="s">
        <v>257</v>
      </c>
      <c r="C48" t="s">
        <v>23</v>
      </c>
      <c r="D48">
        <v>747.07</v>
      </c>
      <c r="E48">
        <v>379</v>
      </c>
      <c r="F48" t="s">
        <v>258</v>
      </c>
      <c r="G48" t="s">
        <v>259</v>
      </c>
      <c r="H48" t="s">
        <v>260</v>
      </c>
      <c r="L48">
        <f t="shared" si="3"/>
        <v>2</v>
      </c>
      <c r="M48">
        <f t="shared" si="4"/>
        <v>1</v>
      </c>
      <c r="N48" t="str">
        <f t="shared" si="5"/>
        <v>Duplicate</v>
      </c>
    </row>
    <row r="49" spans="1:14" hidden="1" x14ac:dyDescent="0.3">
      <c r="A49" t="s">
        <v>261</v>
      </c>
      <c r="B49" t="s">
        <v>262</v>
      </c>
      <c r="C49" t="s">
        <v>29</v>
      </c>
      <c r="D49">
        <v>830.43</v>
      </c>
      <c r="E49">
        <v>80</v>
      </c>
      <c r="F49" t="s">
        <v>263</v>
      </c>
      <c r="G49" t="s">
        <v>264</v>
      </c>
      <c r="H49" t="s">
        <v>265</v>
      </c>
      <c r="L49">
        <f t="shared" si="3"/>
        <v>1</v>
      </c>
      <c r="M49">
        <f t="shared" si="4"/>
        <v>0</v>
      </c>
      <c r="N49" t="str">
        <f t="shared" si="5"/>
        <v>Unique</v>
      </c>
    </row>
    <row r="50" spans="1:14" hidden="1" x14ac:dyDescent="0.3">
      <c r="A50" t="s">
        <v>266</v>
      </c>
      <c r="B50" t="s">
        <v>267</v>
      </c>
      <c r="C50" t="s">
        <v>23</v>
      </c>
      <c r="D50">
        <v>205.12</v>
      </c>
      <c r="E50">
        <v>22</v>
      </c>
      <c r="F50" t="s">
        <v>268</v>
      </c>
      <c r="G50" t="s">
        <v>269</v>
      </c>
      <c r="H50" t="s">
        <v>270</v>
      </c>
      <c r="L50">
        <f t="shared" si="3"/>
        <v>1</v>
      </c>
      <c r="M50">
        <f t="shared" si="4"/>
        <v>0</v>
      </c>
      <c r="N50" t="str">
        <f t="shared" si="5"/>
        <v>Unique</v>
      </c>
    </row>
    <row r="51" spans="1:14" hidden="1" x14ac:dyDescent="0.3">
      <c r="A51" t="s">
        <v>271</v>
      </c>
      <c r="B51" t="s">
        <v>272</v>
      </c>
      <c r="C51" t="s">
        <v>118</v>
      </c>
      <c r="D51">
        <v>361.6</v>
      </c>
      <c r="E51">
        <v>148</v>
      </c>
      <c r="F51" t="s">
        <v>273</v>
      </c>
      <c r="G51" t="s">
        <v>274</v>
      </c>
      <c r="H51" t="s">
        <v>275</v>
      </c>
      <c r="L51">
        <f t="shared" si="3"/>
        <v>1</v>
      </c>
      <c r="M51">
        <f t="shared" si="4"/>
        <v>0</v>
      </c>
      <c r="N51" t="str">
        <f t="shared" si="5"/>
        <v>Unique</v>
      </c>
    </row>
    <row r="52" spans="1:14" x14ac:dyDescent="0.3">
      <c r="A52" t="s">
        <v>276</v>
      </c>
      <c r="B52" t="s">
        <v>277</v>
      </c>
      <c r="C52" t="s">
        <v>40</v>
      </c>
      <c r="D52">
        <v>856.34</v>
      </c>
      <c r="E52">
        <v>467</v>
      </c>
      <c r="F52" t="s">
        <v>278</v>
      </c>
      <c r="G52" t="s">
        <v>279</v>
      </c>
      <c r="H52" t="s">
        <v>280</v>
      </c>
      <c r="L52">
        <f t="shared" si="3"/>
        <v>2</v>
      </c>
      <c r="M52">
        <f t="shared" si="4"/>
        <v>1</v>
      </c>
      <c r="N52" t="str">
        <f t="shared" si="5"/>
        <v>Duplicate</v>
      </c>
    </row>
    <row r="53" spans="1:14" hidden="1" x14ac:dyDescent="0.3">
      <c r="A53" t="s">
        <v>281</v>
      </c>
      <c r="B53" t="s">
        <v>282</v>
      </c>
      <c r="C53" t="s">
        <v>23</v>
      </c>
      <c r="D53">
        <v>919.27</v>
      </c>
      <c r="E53">
        <v>55</v>
      </c>
      <c r="F53" t="s">
        <v>283</v>
      </c>
      <c r="G53" t="s">
        <v>284</v>
      </c>
      <c r="H53" t="s">
        <v>285</v>
      </c>
      <c r="L53">
        <f t="shared" si="3"/>
        <v>1</v>
      </c>
      <c r="M53">
        <f t="shared" si="4"/>
        <v>0</v>
      </c>
      <c r="N53" t="str">
        <f t="shared" si="5"/>
        <v>Unique</v>
      </c>
    </row>
    <row r="54" spans="1:14" hidden="1" x14ac:dyDescent="0.3">
      <c r="A54" t="s">
        <v>286</v>
      </c>
      <c r="B54" t="s">
        <v>287</v>
      </c>
      <c r="C54" t="s">
        <v>118</v>
      </c>
      <c r="D54">
        <v>89.2</v>
      </c>
      <c r="E54">
        <v>139</v>
      </c>
      <c r="F54" t="s">
        <v>288</v>
      </c>
      <c r="G54" t="s">
        <v>289</v>
      </c>
      <c r="H54" t="s">
        <v>290</v>
      </c>
      <c r="L54">
        <f t="shared" si="3"/>
        <v>1</v>
      </c>
      <c r="M54">
        <f t="shared" si="4"/>
        <v>0</v>
      </c>
      <c r="N54" t="str">
        <f t="shared" si="5"/>
        <v>Unique</v>
      </c>
    </row>
    <row r="55" spans="1:14" hidden="1" x14ac:dyDescent="0.3">
      <c r="A55" t="s">
        <v>291</v>
      </c>
      <c r="B55" t="s">
        <v>292</v>
      </c>
      <c r="C55" t="s">
        <v>57</v>
      </c>
      <c r="D55">
        <v>741.38</v>
      </c>
      <c r="E55">
        <v>360</v>
      </c>
      <c r="F55" t="s">
        <v>293</v>
      </c>
      <c r="G55" t="s">
        <v>294</v>
      </c>
      <c r="H55" t="s">
        <v>295</v>
      </c>
      <c r="L55">
        <f t="shared" si="3"/>
        <v>1</v>
      </c>
      <c r="M55">
        <f t="shared" si="4"/>
        <v>0</v>
      </c>
      <c r="N55" t="str">
        <f t="shared" si="5"/>
        <v>Unique</v>
      </c>
    </row>
    <row r="56" spans="1:14" hidden="1" x14ac:dyDescent="0.3">
      <c r="A56" t="s">
        <v>296</v>
      </c>
      <c r="B56" t="s">
        <v>297</v>
      </c>
      <c r="C56" t="s">
        <v>57</v>
      </c>
      <c r="D56">
        <v>669.63</v>
      </c>
      <c r="E56">
        <v>156</v>
      </c>
      <c r="F56" t="s">
        <v>298</v>
      </c>
      <c r="G56" t="s">
        <v>299</v>
      </c>
      <c r="H56" t="s">
        <v>300</v>
      </c>
      <c r="L56">
        <f t="shared" si="3"/>
        <v>1</v>
      </c>
      <c r="M56">
        <f t="shared" si="4"/>
        <v>0</v>
      </c>
      <c r="N56" t="str">
        <f t="shared" si="5"/>
        <v>Unique</v>
      </c>
    </row>
    <row r="57" spans="1:14" hidden="1" x14ac:dyDescent="0.3">
      <c r="A57" t="s">
        <v>301</v>
      </c>
      <c r="B57" t="s">
        <v>302</v>
      </c>
      <c r="C57" t="s">
        <v>23</v>
      </c>
      <c r="D57">
        <v>686.23</v>
      </c>
      <c r="E57">
        <v>124</v>
      </c>
      <c r="F57" t="s">
        <v>303</v>
      </c>
      <c r="G57" t="s">
        <v>304</v>
      </c>
      <c r="H57" t="s">
        <v>305</v>
      </c>
      <c r="L57">
        <f t="shared" si="3"/>
        <v>1</v>
      </c>
      <c r="M57">
        <f t="shared" si="4"/>
        <v>0</v>
      </c>
      <c r="N57" t="str">
        <f t="shared" si="5"/>
        <v>Unique</v>
      </c>
    </row>
    <row r="58" spans="1:14" hidden="1" x14ac:dyDescent="0.3">
      <c r="A58" t="s">
        <v>306</v>
      </c>
      <c r="B58" t="s">
        <v>307</v>
      </c>
      <c r="C58" t="s">
        <v>29</v>
      </c>
      <c r="D58">
        <v>541.41</v>
      </c>
      <c r="E58">
        <v>384</v>
      </c>
      <c r="F58" t="s">
        <v>308</v>
      </c>
      <c r="G58" t="s">
        <v>309</v>
      </c>
      <c r="H58" t="s">
        <v>310</v>
      </c>
      <c r="L58">
        <f t="shared" si="3"/>
        <v>1</v>
      </c>
      <c r="M58">
        <f t="shared" si="4"/>
        <v>0</v>
      </c>
      <c r="N58" t="str">
        <f t="shared" si="5"/>
        <v>Unique</v>
      </c>
    </row>
    <row r="59" spans="1:14" hidden="1" x14ac:dyDescent="0.3">
      <c r="A59" t="s">
        <v>311</v>
      </c>
      <c r="B59" t="s">
        <v>312</v>
      </c>
      <c r="C59" t="s">
        <v>118</v>
      </c>
      <c r="D59">
        <v>578.22</v>
      </c>
      <c r="E59">
        <v>221</v>
      </c>
      <c r="F59" t="s">
        <v>313</v>
      </c>
      <c r="G59" t="s">
        <v>314</v>
      </c>
      <c r="H59" t="s">
        <v>315</v>
      </c>
      <c r="L59">
        <f t="shared" si="3"/>
        <v>1</v>
      </c>
      <c r="M59">
        <f t="shared" si="4"/>
        <v>0</v>
      </c>
      <c r="N59" t="str">
        <f t="shared" si="5"/>
        <v>Unique</v>
      </c>
    </row>
    <row r="60" spans="1:14" hidden="1" x14ac:dyDescent="0.3">
      <c r="A60" t="s">
        <v>316</v>
      </c>
      <c r="B60" t="s">
        <v>317</v>
      </c>
      <c r="C60" t="s">
        <v>57</v>
      </c>
      <c r="D60">
        <v>281.22000000000003</v>
      </c>
      <c r="E60">
        <v>64</v>
      </c>
      <c r="F60" t="s">
        <v>318</v>
      </c>
      <c r="G60" t="s">
        <v>319</v>
      </c>
      <c r="H60" t="s">
        <v>320</v>
      </c>
      <c r="L60">
        <f t="shared" si="3"/>
        <v>1</v>
      </c>
      <c r="M60">
        <f t="shared" si="4"/>
        <v>0</v>
      </c>
      <c r="N60" t="str">
        <f t="shared" si="5"/>
        <v>Unique</v>
      </c>
    </row>
    <row r="61" spans="1:14" hidden="1" x14ac:dyDescent="0.3">
      <c r="A61" t="s">
        <v>321</v>
      </c>
      <c r="B61" t="s">
        <v>322</v>
      </c>
      <c r="C61" t="s">
        <v>23</v>
      </c>
      <c r="D61">
        <v>12.81</v>
      </c>
      <c r="E61">
        <v>327</v>
      </c>
      <c r="F61" t="s">
        <v>323</v>
      </c>
      <c r="G61" t="s">
        <v>324</v>
      </c>
      <c r="H61" t="s">
        <v>325</v>
      </c>
      <c r="L61">
        <f t="shared" si="3"/>
        <v>1</v>
      </c>
      <c r="M61">
        <f t="shared" si="4"/>
        <v>0</v>
      </c>
      <c r="N61" t="str">
        <f t="shared" si="5"/>
        <v>Unique</v>
      </c>
    </row>
    <row r="62" spans="1:14" x14ac:dyDescent="0.3">
      <c r="A62" t="s">
        <v>326</v>
      </c>
      <c r="B62" t="s">
        <v>277</v>
      </c>
      <c r="C62" t="s">
        <v>57</v>
      </c>
      <c r="D62">
        <v>816.07</v>
      </c>
      <c r="E62">
        <v>350</v>
      </c>
      <c r="F62" t="s">
        <v>327</v>
      </c>
      <c r="G62" t="s">
        <v>328</v>
      </c>
      <c r="H62" t="s">
        <v>329</v>
      </c>
      <c r="L62">
        <f t="shared" si="3"/>
        <v>2</v>
      </c>
      <c r="M62">
        <f t="shared" si="4"/>
        <v>1</v>
      </c>
      <c r="N62" t="str">
        <f t="shared" si="5"/>
        <v>Duplicate</v>
      </c>
    </row>
    <row r="63" spans="1:14" hidden="1" x14ac:dyDescent="0.3">
      <c r="A63" t="s">
        <v>330</v>
      </c>
      <c r="B63" t="s">
        <v>331</v>
      </c>
      <c r="C63" t="s">
        <v>29</v>
      </c>
      <c r="D63">
        <v>905.89</v>
      </c>
      <c r="E63">
        <v>130</v>
      </c>
      <c r="F63" t="s">
        <v>332</v>
      </c>
      <c r="G63" t="s">
        <v>333</v>
      </c>
      <c r="H63" t="s">
        <v>334</v>
      </c>
      <c r="L63">
        <f t="shared" si="3"/>
        <v>1</v>
      </c>
      <c r="M63">
        <f t="shared" si="4"/>
        <v>0</v>
      </c>
      <c r="N63" t="str">
        <f t="shared" si="5"/>
        <v>Unique</v>
      </c>
    </row>
    <row r="64" spans="1:14" hidden="1" x14ac:dyDescent="0.3">
      <c r="A64" t="s">
        <v>335</v>
      </c>
      <c r="B64" t="s">
        <v>336</v>
      </c>
      <c r="C64" t="s">
        <v>29</v>
      </c>
      <c r="D64">
        <v>362.37</v>
      </c>
      <c r="E64">
        <v>263</v>
      </c>
      <c r="F64" t="s">
        <v>337</v>
      </c>
      <c r="G64" t="s">
        <v>338</v>
      </c>
      <c r="H64" t="s">
        <v>339</v>
      </c>
      <c r="L64">
        <f t="shared" si="3"/>
        <v>1</v>
      </c>
      <c r="M64">
        <f t="shared" si="4"/>
        <v>0</v>
      </c>
      <c r="N64" t="str">
        <f t="shared" si="5"/>
        <v>Unique</v>
      </c>
    </row>
    <row r="65" spans="1:14" hidden="1" x14ac:dyDescent="0.3">
      <c r="A65" t="s">
        <v>340</v>
      </c>
      <c r="B65" t="s">
        <v>341</v>
      </c>
      <c r="C65" t="s">
        <v>29</v>
      </c>
      <c r="D65">
        <v>467.08</v>
      </c>
      <c r="E65">
        <v>334</v>
      </c>
      <c r="F65" t="s">
        <v>342</v>
      </c>
      <c r="G65" t="s">
        <v>343</v>
      </c>
      <c r="H65" t="s">
        <v>344</v>
      </c>
      <c r="L65">
        <f t="shared" si="3"/>
        <v>1</v>
      </c>
      <c r="M65">
        <f t="shared" si="4"/>
        <v>0</v>
      </c>
      <c r="N65" t="str">
        <f t="shared" si="5"/>
        <v>Unique</v>
      </c>
    </row>
    <row r="66" spans="1:14" hidden="1" x14ac:dyDescent="0.3">
      <c r="A66" t="s">
        <v>345</v>
      </c>
      <c r="B66" t="s">
        <v>346</v>
      </c>
      <c r="C66" t="s">
        <v>118</v>
      </c>
      <c r="D66">
        <v>610.6</v>
      </c>
      <c r="E66">
        <v>184</v>
      </c>
      <c r="F66" t="s">
        <v>347</v>
      </c>
      <c r="G66" t="s">
        <v>348</v>
      </c>
      <c r="H66" t="s">
        <v>349</v>
      </c>
      <c r="L66">
        <f t="shared" ref="L66:L101" si="6">COUNTIF($B$2:$B$101,B66)</f>
        <v>1</v>
      </c>
      <c r="M66">
        <f t="shared" ref="M66:M97" si="7">IF(L66&gt;1,1,0)</f>
        <v>0</v>
      </c>
      <c r="N66" t="str">
        <f t="shared" ref="N66:N101" si="8">IF(L66&gt;1,"Duplicate","Unique")</f>
        <v>Unique</v>
      </c>
    </row>
    <row r="67" spans="1:14" hidden="1" x14ac:dyDescent="0.3">
      <c r="A67" t="s">
        <v>350</v>
      </c>
      <c r="B67" t="s">
        <v>351</v>
      </c>
      <c r="C67" t="s">
        <v>40</v>
      </c>
      <c r="D67">
        <v>161.65</v>
      </c>
      <c r="E67">
        <v>142</v>
      </c>
      <c r="F67" t="s">
        <v>352</v>
      </c>
      <c r="G67" t="s">
        <v>353</v>
      </c>
      <c r="H67" t="s">
        <v>354</v>
      </c>
      <c r="L67">
        <f t="shared" si="6"/>
        <v>1</v>
      </c>
      <c r="M67">
        <f t="shared" si="7"/>
        <v>0</v>
      </c>
      <c r="N67" t="str">
        <f t="shared" si="8"/>
        <v>Unique</v>
      </c>
    </row>
    <row r="68" spans="1:14" hidden="1" x14ac:dyDescent="0.3">
      <c r="A68" t="s">
        <v>355</v>
      </c>
      <c r="B68" t="s">
        <v>356</v>
      </c>
      <c r="C68" t="s">
        <v>23</v>
      </c>
      <c r="D68">
        <v>763.42</v>
      </c>
      <c r="E68">
        <v>396</v>
      </c>
      <c r="F68" t="s">
        <v>357</v>
      </c>
      <c r="G68" t="s">
        <v>358</v>
      </c>
      <c r="H68" t="s">
        <v>359</v>
      </c>
      <c r="L68">
        <f t="shared" si="6"/>
        <v>1</v>
      </c>
      <c r="M68">
        <f t="shared" si="7"/>
        <v>0</v>
      </c>
      <c r="N68" t="str">
        <f t="shared" si="8"/>
        <v>Unique</v>
      </c>
    </row>
    <row r="69" spans="1:14" hidden="1" x14ac:dyDescent="0.3">
      <c r="A69" t="s">
        <v>360</v>
      </c>
      <c r="B69" t="s">
        <v>361</v>
      </c>
      <c r="C69" t="s">
        <v>29</v>
      </c>
      <c r="D69">
        <v>366.11</v>
      </c>
      <c r="E69">
        <v>180</v>
      </c>
      <c r="F69" t="s">
        <v>362</v>
      </c>
      <c r="G69" t="s">
        <v>363</v>
      </c>
      <c r="H69" t="s">
        <v>364</v>
      </c>
      <c r="L69">
        <f t="shared" si="6"/>
        <v>1</v>
      </c>
      <c r="M69">
        <f t="shared" si="7"/>
        <v>0</v>
      </c>
      <c r="N69" t="str">
        <f t="shared" si="8"/>
        <v>Unique</v>
      </c>
    </row>
    <row r="70" spans="1:14" hidden="1" x14ac:dyDescent="0.3">
      <c r="A70" t="s">
        <v>365</v>
      </c>
      <c r="B70" t="s">
        <v>366</v>
      </c>
      <c r="C70" t="s">
        <v>23</v>
      </c>
      <c r="D70">
        <v>154</v>
      </c>
      <c r="E70">
        <v>393</v>
      </c>
      <c r="F70" t="s">
        <v>367</v>
      </c>
      <c r="G70" t="s">
        <v>368</v>
      </c>
      <c r="H70" t="s">
        <v>369</v>
      </c>
      <c r="L70">
        <f t="shared" si="6"/>
        <v>1</v>
      </c>
      <c r="M70">
        <f t="shared" si="7"/>
        <v>0</v>
      </c>
      <c r="N70" t="str">
        <f t="shared" si="8"/>
        <v>Unique</v>
      </c>
    </row>
    <row r="71" spans="1:14" hidden="1" x14ac:dyDescent="0.3">
      <c r="A71" t="s">
        <v>370</v>
      </c>
      <c r="B71" t="s">
        <v>371</v>
      </c>
      <c r="C71" t="s">
        <v>118</v>
      </c>
      <c r="D71">
        <v>226.35</v>
      </c>
      <c r="E71">
        <v>182</v>
      </c>
      <c r="F71" t="s">
        <v>372</v>
      </c>
      <c r="G71" t="s">
        <v>373</v>
      </c>
      <c r="H71" t="s">
        <v>374</v>
      </c>
      <c r="L71">
        <f t="shared" si="6"/>
        <v>1</v>
      </c>
      <c r="M71">
        <f t="shared" si="7"/>
        <v>0</v>
      </c>
      <c r="N71" t="str">
        <f t="shared" si="8"/>
        <v>Unique</v>
      </c>
    </row>
    <row r="72" spans="1:14" x14ac:dyDescent="0.3">
      <c r="A72" t="s">
        <v>375</v>
      </c>
      <c r="B72" t="s">
        <v>257</v>
      </c>
      <c r="C72" t="s">
        <v>118</v>
      </c>
      <c r="D72">
        <v>220.38</v>
      </c>
      <c r="E72">
        <v>71</v>
      </c>
      <c r="F72" t="s">
        <v>376</v>
      </c>
      <c r="G72" t="s">
        <v>377</v>
      </c>
      <c r="H72" t="s">
        <v>378</v>
      </c>
      <c r="L72">
        <f t="shared" si="6"/>
        <v>2</v>
      </c>
      <c r="M72">
        <f t="shared" si="7"/>
        <v>1</v>
      </c>
      <c r="N72" t="str">
        <f t="shared" si="8"/>
        <v>Duplicate</v>
      </c>
    </row>
    <row r="73" spans="1:14" hidden="1" x14ac:dyDescent="0.3">
      <c r="A73" t="s">
        <v>379</v>
      </c>
      <c r="B73" t="s">
        <v>380</v>
      </c>
      <c r="C73" t="s">
        <v>51</v>
      </c>
      <c r="D73">
        <v>697.65</v>
      </c>
      <c r="E73">
        <v>25</v>
      </c>
      <c r="F73" t="s">
        <v>381</v>
      </c>
      <c r="G73" t="s">
        <v>382</v>
      </c>
      <c r="H73" t="s">
        <v>383</v>
      </c>
      <c r="L73">
        <f t="shared" si="6"/>
        <v>1</v>
      </c>
      <c r="M73">
        <f t="shared" si="7"/>
        <v>0</v>
      </c>
      <c r="N73" t="str">
        <f t="shared" si="8"/>
        <v>Unique</v>
      </c>
    </row>
    <row r="74" spans="1:14" hidden="1" x14ac:dyDescent="0.3">
      <c r="A74" t="s">
        <v>384</v>
      </c>
      <c r="B74" t="s">
        <v>385</v>
      </c>
      <c r="C74" t="s">
        <v>40</v>
      </c>
      <c r="D74">
        <v>978.76</v>
      </c>
      <c r="E74">
        <v>27</v>
      </c>
      <c r="F74" t="s">
        <v>386</v>
      </c>
      <c r="G74" t="s">
        <v>387</v>
      </c>
      <c r="H74" t="s">
        <v>388</v>
      </c>
      <c r="L74">
        <f t="shared" si="6"/>
        <v>1</v>
      </c>
      <c r="M74">
        <f t="shared" si="7"/>
        <v>0</v>
      </c>
      <c r="N74" t="str">
        <f t="shared" si="8"/>
        <v>Unique</v>
      </c>
    </row>
    <row r="75" spans="1:14" hidden="1" x14ac:dyDescent="0.3">
      <c r="A75" t="s">
        <v>389</v>
      </c>
      <c r="B75" t="s">
        <v>390</v>
      </c>
      <c r="C75" t="s">
        <v>57</v>
      </c>
      <c r="D75">
        <v>535.99</v>
      </c>
      <c r="E75">
        <v>146</v>
      </c>
      <c r="F75" t="s">
        <v>391</v>
      </c>
      <c r="G75" t="s">
        <v>392</v>
      </c>
      <c r="H75" t="s">
        <v>393</v>
      </c>
      <c r="L75">
        <f t="shared" si="6"/>
        <v>1</v>
      </c>
      <c r="M75">
        <f t="shared" si="7"/>
        <v>0</v>
      </c>
      <c r="N75" t="str">
        <f t="shared" si="8"/>
        <v>Unique</v>
      </c>
    </row>
    <row r="76" spans="1:14" hidden="1" x14ac:dyDescent="0.3">
      <c r="A76" t="s">
        <v>394</v>
      </c>
      <c r="B76" t="s">
        <v>395</v>
      </c>
      <c r="C76" t="s">
        <v>40</v>
      </c>
      <c r="D76">
        <v>13.8</v>
      </c>
      <c r="E76">
        <v>460</v>
      </c>
      <c r="F76" t="s">
        <v>396</v>
      </c>
      <c r="G76" t="s">
        <v>397</v>
      </c>
      <c r="H76" t="s">
        <v>398</v>
      </c>
      <c r="L76">
        <f t="shared" si="6"/>
        <v>1</v>
      </c>
      <c r="M76">
        <f t="shared" si="7"/>
        <v>0</v>
      </c>
      <c r="N76" t="str">
        <f t="shared" si="8"/>
        <v>Unique</v>
      </c>
    </row>
    <row r="77" spans="1:14" hidden="1" x14ac:dyDescent="0.3">
      <c r="A77" t="s">
        <v>399</v>
      </c>
      <c r="B77" t="s">
        <v>400</v>
      </c>
      <c r="C77" t="s">
        <v>29</v>
      </c>
      <c r="D77">
        <v>876.76</v>
      </c>
      <c r="E77">
        <v>164</v>
      </c>
      <c r="F77" t="s">
        <v>401</v>
      </c>
      <c r="G77" t="s">
        <v>402</v>
      </c>
      <c r="H77" t="s">
        <v>403</v>
      </c>
      <c r="L77">
        <f t="shared" si="6"/>
        <v>1</v>
      </c>
      <c r="M77">
        <f t="shared" si="7"/>
        <v>0</v>
      </c>
      <c r="N77" t="str">
        <f t="shared" si="8"/>
        <v>Unique</v>
      </c>
    </row>
    <row r="78" spans="1:14" hidden="1" x14ac:dyDescent="0.3">
      <c r="A78" t="s">
        <v>404</v>
      </c>
      <c r="B78" t="s">
        <v>405</v>
      </c>
      <c r="C78" t="s">
        <v>51</v>
      </c>
      <c r="D78">
        <v>857.02</v>
      </c>
      <c r="E78">
        <v>212</v>
      </c>
      <c r="F78" t="s">
        <v>406</v>
      </c>
      <c r="G78" t="s">
        <v>407</v>
      </c>
      <c r="H78" t="s">
        <v>408</v>
      </c>
      <c r="L78">
        <f t="shared" si="6"/>
        <v>1</v>
      </c>
      <c r="M78">
        <f t="shared" si="7"/>
        <v>0</v>
      </c>
      <c r="N78" t="str">
        <f t="shared" si="8"/>
        <v>Unique</v>
      </c>
    </row>
    <row r="79" spans="1:14" hidden="1" x14ac:dyDescent="0.3">
      <c r="A79" t="s">
        <v>409</v>
      </c>
      <c r="B79" t="s">
        <v>410</v>
      </c>
      <c r="C79" t="s">
        <v>57</v>
      </c>
      <c r="D79">
        <v>301.62</v>
      </c>
      <c r="E79">
        <v>183</v>
      </c>
      <c r="F79" t="s">
        <v>411</v>
      </c>
      <c r="G79" t="s">
        <v>412</v>
      </c>
      <c r="H79" t="s">
        <v>413</v>
      </c>
      <c r="L79">
        <f t="shared" si="6"/>
        <v>1</v>
      </c>
      <c r="M79">
        <f t="shared" si="7"/>
        <v>0</v>
      </c>
      <c r="N79" t="str">
        <f t="shared" si="8"/>
        <v>Unique</v>
      </c>
    </row>
    <row r="80" spans="1:14" hidden="1" x14ac:dyDescent="0.3">
      <c r="A80" t="s">
        <v>414</v>
      </c>
      <c r="B80" t="s">
        <v>415</v>
      </c>
      <c r="C80" t="s">
        <v>23</v>
      </c>
      <c r="D80">
        <v>335.74</v>
      </c>
      <c r="E80">
        <v>407</v>
      </c>
      <c r="F80" t="s">
        <v>416</v>
      </c>
      <c r="G80" t="s">
        <v>417</v>
      </c>
      <c r="H80" t="s">
        <v>418</v>
      </c>
      <c r="L80">
        <f t="shared" si="6"/>
        <v>1</v>
      </c>
      <c r="M80">
        <f t="shared" si="7"/>
        <v>0</v>
      </c>
      <c r="N80" t="str">
        <f t="shared" si="8"/>
        <v>Unique</v>
      </c>
    </row>
    <row r="81" spans="1:14" hidden="1" x14ac:dyDescent="0.3">
      <c r="A81" t="s">
        <v>419</v>
      </c>
      <c r="B81" t="s">
        <v>420</v>
      </c>
      <c r="C81" t="s">
        <v>29</v>
      </c>
      <c r="D81">
        <v>524.49</v>
      </c>
      <c r="E81">
        <v>420</v>
      </c>
      <c r="F81" t="s">
        <v>421</v>
      </c>
      <c r="G81" t="s">
        <v>422</v>
      </c>
      <c r="H81" t="s">
        <v>423</v>
      </c>
      <c r="L81">
        <f t="shared" si="6"/>
        <v>1</v>
      </c>
      <c r="M81">
        <f t="shared" si="7"/>
        <v>0</v>
      </c>
      <c r="N81" t="str">
        <f t="shared" si="8"/>
        <v>Unique</v>
      </c>
    </row>
    <row r="82" spans="1:14" hidden="1" x14ac:dyDescent="0.3">
      <c r="A82" t="s">
        <v>424</v>
      </c>
      <c r="B82" t="s">
        <v>425</v>
      </c>
      <c r="C82" t="s">
        <v>57</v>
      </c>
      <c r="D82">
        <v>677.36</v>
      </c>
      <c r="E82">
        <v>192</v>
      </c>
      <c r="F82" t="s">
        <v>426</v>
      </c>
      <c r="G82" t="s">
        <v>427</v>
      </c>
      <c r="H82" t="s">
        <v>428</v>
      </c>
      <c r="L82">
        <f t="shared" si="6"/>
        <v>1</v>
      </c>
      <c r="M82">
        <f t="shared" si="7"/>
        <v>0</v>
      </c>
      <c r="N82" t="str">
        <f t="shared" si="8"/>
        <v>Unique</v>
      </c>
    </row>
    <row r="83" spans="1:14" hidden="1" x14ac:dyDescent="0.3">
      <c r="A83" t="s">
        <v>429</v>
      </c>
      <c r="B83" t="s">
        <v>430</v>
      </c>
      <c r="C83" t="s">
        <v>23</v>
      </c>
      <c r="D83">
        <v>182.7</v>
      </c>
      <c r="E83">
        <v>488</v>
      </c>
      <c r="F83" t="s">
        <v>431</v>
      </c>
      <c r="G83" t="s">
        <v>432</v>
      </c>
      <c r="H83" t="s">
        <v>433</v>
      </c>
      <c r="L83">
        <f t="shared" si="6"/>
        <v>1</v>
      </c>
      <c r="M83">
        <f t="shared" si="7"/>
        <v>0</v>
      </c>
      <c r="N83" t="str">
        <f t="shared" si="8"/>
        <v>Unique</v>
      </c>
    </row>
    <row r="84" spans="1:14" hidden="1" x14ac:dyDescent="0.3">
      <c r="A84" t="s">
        <v>434</v>
      </c>
      <c r="B84" t="s">
        <v>435</v>
      </c>
      <c r="C84" t="s">
        <v>57</v>
      </c>
      <c r="D84">
        <v>272.85000000000002</v>
      </c>
      <c r="E84">
        <v>168</v>
      </c>
      <c r="F84" t="s">
        <v>436</v>
      </c>
      <c r="G84" t="s">
        <v>437</v>
      </c>
      <c r="H84" t="s">
        <v>438</v>
      </c>
      <c r="L84">
        <f t="shared" si="6"/>
        <v>1</v>
      </c>
      <c r="M84">
        <f t="shared" si="7"/>
        <v>0</v>
      </c>
      <c r="N84" t="str">
        <f t="shared" si="8"/>
        <v>Unique</v>
      </c>
    </row>
    <row r="85" spans="1:14" x14ac:dyDescent="0.3">
      <c r="A85" t="s">
        <v>439</v>
      </c>
      <c r="B85" t="s">
        <v>163</v>
      </c>
      <c r="C85" t="s">
        <v>23</v>
      </c>
      <c r="D85">
        <v>347.85</v>
      </c>
      <c r="E85">
        <v>10</v>
      </c>
      <c r="F85" t="s">
        <v>440</v>
      </c>
      <c r="G85" t="s">
        <v>441</v>
      </c>
      <c r="H85" t="s">
        <v>442</v>
      </c>
      <c r="L85">
        <f t="shared" si="6"/>
        <v>2</v>
      </c>
      <c r="M85">
        <f t="shared" si="7"/>
        <v>1</v>
      </c>
      <c r="N85" t="str">
        <f t="shared" si="8"/>
        <v>Duplicate</v>
      </c>
    </row>
    <row r="86" spans="1:14" hidden="1" x14ac:dyDescent="0.3">
      <c r="A86" t="s">
        <v>443</v>
      </c>
      <c r="B86" t="s">
        <v>444</v>
      </c>
      <c r="C86" t="s">
        <v>57</v>
      </c>
      <c r="D86">
        <v>35.729999999999997</v>
      </c>
      <c r="E86">
        <v>270</v>
      </c>
      <c r="F86" t="s">
        <v>445</v>
      </c>
      <c r="G86" t="s">
        <v>446</v>
      </c>
      <c r="H86" t="s">
        <v>447</v>
      </c>
      <c r="L86">
        <f t="shared" si="6"/>
        <v>1</v>
      </c>
      <c r="M86">
        <f t="shared" si="7"/>
        <v>0</v>
      </c>
      <c r="N86" t="str">
        <f t="shared" si="8"/>
        <v>Unique</v>
      </c>
    </row>
    <row r="87" spans="1:14" x14ac:dyDescent="0.3">
      <c r="A87" t="s">
        <v>448</v>
      </c>
      <c r="B87" t="s">
        <v>107</v>
      </c>
      <c r="C87" t="s">
        <v>57</v>
      </c>
      <c r="D87">
        <v>333.26</v>
      </c>
      <c r="E87">
        <v>86</v>
      </c>
      <c r="F87" t="s">
        <v>449</v>
      </c>
      <c r="G87" t="s">
        <v>450</v>
      </c>
      <c r="H87" t="s">
        <v>451</v>
      </c>
      <c r="L87">
        <f t="shared" si="6"/>
        <v>2</v>
      </c>
      <c r="M87">
        <f t="shared" si="7"/>
        <v>1</v>
      </c>
      <c r="N87" t="str">
        <f t="shared" si="8"/>
        <v>Duplicate</v>
      </c>
    </row>
    <row r="88" spans="1:14" hidden="1" x14ac:dyDescent="0.3">
      <c r="A88" t="s">
        <v>452</v>
      </c>
      <c r="B88" t="s">
        <v>453</v>
      </c>
      <c r="C88" t="s">
        <v>23</v>
      </c>
      <c r="D88">
        <v>267.49</v>
      </c>
      <c r="E88">
        <v>419</v>
      </c>
      <c r="F88" t="s">
        <v>454</v>
      </c>
      <c r="G88" t="s">
        <v>455</v>
      </c>
      <c r="H88" t="s">
        <v>456</v>
      </c>
      <c r="L88">
        <f t="shared" si="6"/>
        <v>1</v>
      </c>
      <c r="M88">
        <f t="shared" si="7"/>
        <v>0</v>
      </c>
      <c r="N88" t="str">
        <f t="shared" si="8"/>
        <v>Unique</v>
      </c>
    </row>
    <row r="89" spans="1:14" hidden="1" x14ac:dyDescent="0.3">
      <c r="A89" t="s">
        <v>457</v>
      </c>
      <c r="B89" t="s">
        <v>458</v>
      </c>
      <c r="C89" t="s">
        <v>118</v>
      </c>
      <c r="D89">
        <v>860.94</v>
      </c>
      <c r="E89">
        <v>438</v>
      </c>
      <c r="F89" t="s">
        <v>459</v>
      </c>
      <c r="G89" t="s">
        <v>460</v>
      </c>
      <c r="H89" t="s">
        <v>461</v>
      </c>
      <c r="L89">
        <f t="shared" si="6"/>
        <v>1</v>
      </c>
      <c r="M89">
        <f t="shared" si="7"/>
        <v>0</v>
      </c>
      <c r="N89" t="str">
        <f t="shared" si="8"/>
        <v>Unique</v>
      </c>
    </row>
    <row r="90" spans="1:14" hidden="1" x14ac:dyDescent="0.3">
      <c r="A90" t="s">
        <v>462</v>
      </c>
      <c r="B90" t="s">
        <v>463</v>
      </c>
      <c r="C90" t="s">
        <v>23</v>
      </c>
      <c r="D90">
        <v>37.26</v>
      </c>
      <c r="E90">
        <v>232</v>
      </c>
      <c r="F90" t="s">
        <v>464</v>
      </c>
      <c r="G90" t="s">
        <v>465</v>
      </c>
      <c r="H90" t="s">
        <v>466</v>
      </c>
      <c r="L90">
        <f t="shared" si="6"/>
        <v>1</v>
      </c>
      <c r="M90">
        <f t="shared" si="7"/>
        <v>0</v>
      </c>
      <c r="N90" t="str">
        <f t="shared" si="8"/>
        <v>Unique</v>
      </c>
    </row>
    <row r="91" spans="1:14" hidden="1" x14ac:dyDescent="0.3">
      <c r="A91" t="s">
        <v>467</v>
      </c>
      <c r="B91" t="s">
        <v>468</v>
      </c>
      <c r="C91" t="s">
        <v>40</v>
      </c>
      <c r="D91">
        <v>705.62</v>
      </c>
      <c r="E91">
        <v>92</v>
      </c>
      <c r="F91" t="s">
        <v>469</v>
      </c>
      <c r="G91" t="s">
        <v>470</v>
      </c>
      <c r="H91" t="s">
        <v>471</v>
      </c>
      <c r="L91">
        <f t="shared" si="6"/>
        <v>1</v>
      </c>
      <c r="M91">
        <f t="shared" si="7"/>
        <v>0</v>
      </c>
      <c r="N91" t="str">
        <f t="shared" si="8"/>
        <v>Unique</v>
      </c>
    </row>
    <row r="92" spans="1:14" hidden="1" x14ac:dyDescent="0.3">
      <c r="A92" t="s">
        <v>472</v>
      </c>
      <c r="B92" t="s">
        <v>473</v>
      </c>
      <c r="C92" t="s">
        <v>29</v>
      </c>
      <c r="D92">
        <v>930.35</v>
      </c>
      <c r="E92">
        <v>129</v>
      </c>
      <c r="F92" t="s">
        <v>474</v>
      </c>
      <c r="G92" t="s">
        <v>475</v>
      </c>
      <c r="H92" t="s">
        <v>476</v>
      </c>
      <c r="L92">
        <f t="shared" si="6"/>
        <v>1</v>
      </c>
      <c r="M92">
        <f t="shared" si="7"/>
        <v>0</v>
      </c>
      <c r="N92" t="str">
        <f t="shared" si="8"/>
        <v>Unique</v>
      </c>
    </row>
    <row r="93" spans="1:14" hidden="1" x14ac:dyDescent="0.3">
      <c r="A93" t="s">
        <v>477</v>
      </c>
      <c r="B93" t="s">
        <v>478</v>
      </c>
      <c r="C93" t="s">
        <v>118</v>
      </c>
      <c r="D93">
        <v>933.27</v>
      </c>
      <c r="E93">
        <v>240</v>
      </c>
      <c r="F93" t="s">
        <v>479</v>
      </c>
      <c r="G93" t="s">
        <v>480</v>
      </c>
      <c r="H93" t="s">
        <v>481</v>
      </c>
      <c r="L93">
        <f t="shared" si="6"/>
        <v>1</v>
      </c>
      <c r="M93">
        <f t="shared" si="7"/>
        <v>0</v>
      </c>
      <c r="N93" t="str">
        <f t="shared" si="8"/>
        <v>Unique</v>
      </c>
    </row>
    <row r="94" spans="1:14" hidden="1" x14ac:dyDescent="0.3">
      <c r="A94" t="s">
        <v>482</v>
      </c>
      <c r="B94" t="s">
        <v>483</v>
      </c>
      <c r="C94" t="s">
        <v>40</v>
      </c>
      <c r="D94">
        <v>382.81</v>
      </c>
      <c r="E94">
        <v>11</v>
      </c>
      <c r="F94" t="s">
        <v>484</v>
      </c>
      <c r="G94" t="s">
        <v>485</v>
      </c>
      <c r="H94" t="s">
        <v>486</v>
      </c>
      <c r="L94">
        <f t="shared" si="6"/>
        <v>1</v>
      </c>
      <c r="M94">
        <f t="shared" si="7"/>
        <v>0</v>
      </c>
      <c r="N94" t="str">
        <f t="shared" si="8"/>
        <v>Unique</v>
      </c>
    </row>
    <row r="95" spans="1:14" hidden="1" x14ac:dyDescent="0.3">
      <c r="A95" t="s">
        <v>487</v>
      </c>
      <c r="B95" t="s">
        <v>488</v>
      </c>
      <c r="C95" t="s">
        <v>40</v>
      </c>
      <c r="D95">
        <v>638.01</v>
      </c>
      <c r="E95">
        <v>233</v>
      </c>
      <c r="F95" t="s">
        <v>489</v>
      </c>
      <c r="G95" t="s">
        <v>490</v>
      </c>
      <c r="H95" t="s">
        <v>491</v>
      </c>
      <c r="L95">
        <f t="shared" si="6"/>
        <v>1</v>
      </c>
      <c r="M95">
        <f t="shared" si="7"/>
        <v>0</v>
      </c>
      <c r="N95" t="str">
        <f t="shared" si="8"/>
        <v>Unique</v>
      </c>
    </row>
    <row r="96" spans="1:14" hidden="1" x14ac:dyDescent="0.3">
      <c r="A96" t="s">
        <v>492</v>
      </c>
      <c r="B96" t="s">
        <v>493</v>
      </c>
      <c r="C96" t="s">
        <v>29</v>
      </c>
      <c r="D96">
        <v>92.96</v>
      </c>
      <c r="E96">
        <v>1</v>
      </c>
      <c r="F96" t="s">
        <v>494</v>
      </c>
      <c r="G96" t="s">
        <v>495</v>
      </c>
      <c r="H96" t="s">
        <v>496</v>
      </c>
      <c r="L96">
        <f t="shared" si="6"/>
        <v>1</v>
      </c>
      <c r="M96">
        <f t="shared" si="7"/>
        <v>0</v>
      </c>
      <c r="N96" t="str">
        <f t="shared" si="8"/>
        <v>Unique</v>
      </c>
    </row>
    <row r="97" spans="1:14" hidden="1" x14ac:dyDescent="0.3">
      <c r="A97" t="s">
        <v>497</v>
      </c>
      <c r="B97" t="s">
        <v>498</v>
      </c>
      <c r="C97" t="s">
        <v>118</v>
      </c>
      <c r="D97">
        <v>856.71</v>
      </c>
      <c r="E97">
        <v>254</v>
      </c>
      <c r="F97" t="s">
        <v>499</v>
      </c>
      <c r="G97" t="s">
        <v>500</v>
      </c>
      <c r="H97" t="s">
        <v>501</v>
      </c>
      <c r="L97">
        <f t="shared" si="6"/>
        <v>1</v>
      </c>
      <c r="M97">
        <f t="shared" si="7"/>
        <v>0</v>
      </c>
      <c r="N97" t="str">
        <f t="shared" si="8"/>
        <v>Unique</v>
      </c>
    </row>
    <row r="98" spans="1:14" hidden="1" x14ac:dyDescent="0.3">
      <c r="A98" t="s">
        <v>502</v>
      </c>
      <c r="B98" t="s">
        <v>503</v>
      </c>
      <c r="C98" t="s">
        <v>23</v>
      </c>
      <c r="D98">
        <v>413.69</v>
      </c>
      <c r="E98">
        <v>135</v>
      </c>
      <c r="F98" t="s">
        <v>504</v>
      </c>
      <c r="G98" t="s">
        <v>505</v>
      </c>
      <c r="H98" t="s">
        <v>506</v>
      </c>
      <c r="L98">
        <f t="shared" si="6"/>
        <v>1</v>
      </c>
      <c r="M98">
        <f t="shared" ref="M98:M129" si="9">IF(L98&gt;1,1,0)</f>
        <v>0</v>
      </c>
      <c r="N98" t="str">
        <f t="shared" si="8"/>
        <v>Unique</v>
      </c>
    </row>
    <row r="99" spans="1:14" hidden="1" x14ac:dyDescent="0.3">
      <c r="A99" t="s">
        <v>507</v>
      </c>
      <c r="B99" t="s">
        <v>508</v>
      </c>
      <c r="C99" t="s">
        <v>40</v>
      </c>
      <c r="D99">
        <v>38.630000000000003</v>
      </c>
      <c r="E99">
        <v>296</v>
      </c>
      <c r="F99" t="s">
        <v>509</v>
      </c>
      <c r="G99" t="s">
        <v>510</v>
      </c>
      <c r="H99" t="s">
        <v>511</v>
      </c>
      <c r="L99">
        <f t="shared" si="6"/>
        <v>1</v>
      </c>
      <c r="M99">
        <f t="shared" si="9"/>
        <v>0</v>
      </c>
      <c r="N99" t="str">
        <f t="shared" si="8"/>
        <v>Unique</v>
      </c>
    </row>
    <row r="100" spans="1:14" hidden="1" x14ac:dyDescent="0.3">
      <c r="A100" t="s">
        <v>512</v>
      </c>
      <c r="B100" t="s">
        <v>513</v>
      </c>
      <c r="C100" t="s">
        <v>118</v>
      </c>
      <c r="D100">
        <v>297.95999999999998</v>
      </c>
      <c r="E100">
        <v>289</v>
      </c>
      <c r="F100" t="s">
        <v>514</v>
      </c>
      <c r="G100" t="s">
        <v>515</v>
      </c>
      <c r="H100" t="s">
        <v>516</v>
      </c>
      <c r="L100">
        <f t="shared" si="6"/>
        <v>1</v>
      </c>
      <c r="M100">
        <f t="shared" si="9"/>
        <v>0</v>
      </c>
      <c r="N100" t="str">
        <f t="shared" si="8"/>
        <v>Unique</v>
      </c>
    </row>
    <row r="101" spans="1:14" hidden="1" x14ac:dyDescent="0.3">
      <c r="A101" t="s">
        <v>517</v>
      </c>
      <c r="B101" t="s">
        <v>518</v>
      </c>
      <c r="C101" t="s">
        <v>23</v>
      </c>
      <c r="D101">
        <v>747.48</v>
      </c>
      <c r="E101">
        <v>251</v>
      </c>
      <c r="F101" t="s">
        <v>519</v>
      </c>
      <c r="G101" t="s">
        <v>520</v>
      </c>
      <c r="H101" t="s">
        <v>521</v>
      </c>
      <c r="L101">
        <f t="shared" si="6"/>
        <v>1</v>
      </c>
      <c r="M101">
        <f t="shared" si="9"/>
        <v>0</v>
      </c>
      <c r="N101" t="str">
        <f t="shared" si="8"/>
        <v>Unique</v>
      </c>
    </row>
  </sheetData>
  <autoFilter ref="A1:R101" xr:uid="{00000000-0009-0000-0000-000000000000}">
    <filterColumn colId="2">
      <filters>
        <filter val="Duplicate"/>
      </filters>
    </filterColumn>
  </autoFilter>
  <conditionalFormatting sqref="A2:A101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1"/>
  <sheetViews>
    <sheetView workbookViewId="0">
      <pane ySplit="1" topLeftCell="A2" activePane="bottomLeft" state="frozen"/>
      <selection pane="bottomLeft" sqref="A1:A12"/>
    </sheetView>
  </sheetViews>
  <sheetFormatPr defaultRowHeight="14.4" x14ac:dyDescent="0.3"/>
  <cols>
    <col min="1" max="1" width="38" customWidth="1"/>
    <col min="2" max="2" width="14" customWidth="1"/>
    <col min="3" max="3" width="17" customWidth="1"/>
    <col min="4" max="5" width="12" customWidth="1"/>
    <col min="6" max="6" width="31" customWidth="1"/>
    <col min="7" max="8" width="38" customWidth="1"/>
    <col min="9" max="9" width="20" customWidth="1"/>
    <col min="10" max="10" width="18" customWidth="1"/>
  </cols>
  <sheetData>
    <row r="1" spans="1:10" ht="30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20</v>
      </c>
    </row>
    <row r="2" spans="1:10" x14ac:dyDescent="0.3">
      <c r="A2" t="s">
        <v>71</v>
      </c>
      <c r="B2" t="s">
        <v>72</v>
      </c>
      <c r="C2" t="s">
        <v>57</v>
      </c>
      <c r="D2">
        <v>748.84</v>
      </c>
      <c r="E2">
        <v>109</v>
      </c>
      <c r="F2" t="s">
        <v>73</v>
      </c>
      <c r="G2" t="s">
        <v>74</v>
      </c>
      <c r="H2" t="s">
        <v>75</v>
      </c>
      <c r="I2">
        <v>2</v>
      </c>
      <c r="J2" t="s">
        <v>522</v>
      </c>
    </row>
    <row r="3" spans="1:10" x14ac:dyDescent="0.3">
      <c r="A3" t="s">
        <v>106</v>
      </c>
      <c r="B3" t="s">
        <v>107</v>
      </c>
      <c r="C3" t="s">
        <v>57</v>
      </c>
      <c r="D3">
        <v>727.77</v>
      </c>
      <c r="E3">
        <v>135</v>
      </c>
      <c r="F3" t="s">
        <v>108</v>
      </c>
      <c r="G3" t="s">
        <v>109</v>
      </c>
      <c r="H3" t="s">
        <v>110</v>
      </c>
      <c r="I3">
        <v>2</v>
      </c>
      <c r="J3" t="s">
        <v>522</v>
      </c>
    </row>
    <row r="4" spans="1:10" x14ac:dyDescent="0.3">
      <c r="A4" t="s">
        <v>162</v>
      </c>
      <c r="B4" t="s">
        <v>163</v>
      </c>
      <c r="C4" t="s">
        <v>51</v>
      </c>
      <c r="D4">
        <v>709.84</v>
      </c>
      <c r="E4">
        <v>167</v>
      </c>
      <c r="F4" t="s">
        <v>164</v>
      </c>
      <c r="G4" t="s">
        <v>165</v>
      </c>
      <c r="H4" t="s">
        <v>166</v>
      </c>
      <c r="I4">
        <v>2</v>
      </c>
      <c r="J4" t="s">
        <v>522</v>
      </c>
    </row>
    <row r="5" spans="1:10" x14ac:dyDescent="0.3">
      <c r="A5" t="s">
        <v>252</v>
      </c>
      <c r="B5" t="s">
        <v>72</v>
      </c>
      <c r="C5" t="s">
        <v>40</v>
      </c>
      <c r="D5">
        <v>616.08000000000004</v>
      </c>
      <c r="E5">
        <v>154</v>
      </c>
      <c r="F5" t="s">
        <v>253</v>
      </c>
      <c r="G5" t="s">
        <v>254</v>
      </c>
      <c r="H5" t="s">
        <v>255</v>
      </c>
      <c r="I5">
        <v>2</v>
      </c>
      <c r="J5" t="s">
        <v>522</v>
      </c>
    </row>
    <row r="6" spans="1:10" x14ac:dyDescent="0.3">
      <c r="A6" t="s">
        <v>256</v>
      </c>
      <c r="B6" t="s">
        <v>257</v>
      </c>
      <c r="C6" t="s">
        <v>23</v>
      </c>
      <c r="D6">
        <v>747.07</v>
      </c>
      <c r="E6">
        <v>379</v>
      </c>
      <c r="F6" t="s">
        <v>258</v>
      </c>
      <c r="G6" t="s">
        <v>259</v>
      </c>
      <c r="H6" t="s">
        <v>260</v>
      </c>
      <c r="I6">
        <v>2</v>
      </c>
      <c r="J6" t="s">
        <v>522</v>
      </c>
    </row>
    <row r="7" spans="1:10" x14ac:dyDescent="0.3">
      <c r="A7" t="s">
        <v>276</v>
      </c>
      <c r="B7" t="s">
        <v>277</v>
      </c>
      <c r="C7" t="s">
        <v>40</v>
      </c>
      <c r="D7">
        <v>856.34</v>
      </c>
      <c r="E7">
        <v>467</v>
      </c>
      <c r="F7" t="s">
        <v>278</v>
      </c>
      <c r="G7" t="s">
        <v>279</v>
      </c>
      <c r="H7" t="s">
        <v>280</v>
      </c>
      <c r="I7">
        <v>2</v>
      </c>
      <c r="J7" t="s">
        <v>522</v>
      </c>
    </row>
    <row r="8" spans="1:10" x14ac:dyDescent="0.3">
      <c r="A8" t="s">
        <v>326</v>
      </c>
      <c r="B8" t="s">
        <v>277</v>
      </c>
      <c r="C8" t="s">
        <v>57</v>
      </c>
      <c r="D8">
        <v>816.07</v>
      </c>
      <c r="E8">
        <v>350</v>
      </c>
      <c r="F8" t="s">
        <v>327</v>
      </c>
      <c r="G8" t="s">
        <v>328</v>
      </c>
      <c r="H8" t="s">
        <v>329</v>
      </c>
      <c r="I8">
        <v>2</v>
      </c>
      <c r="J8" t="s">
        <v>522</v>
      </c>
    </row>
    <row r="9" spans="1:10" x14ac:dyDescent="0.3">
      <c r="A9" t="s">
        <v>375</v>
      </c>
      <c r="B9" t="s">
        <v>257</v>
      </c>
      <c r="C9" t="s">
        <v>118</v>
      </c>
      <c r="D9">
        <v>220.38</v>
      </c>
      <c r="E9">
        <v>71</v>
      </c>
      <c r="F9" t="s">
        <v>376</v>
      </c>
      <c r="G9" t="s">
        <v>377</v>
      </c>
      <c r="H9" t="s">
        <v>378</v>
      </c>
      <c r="I9">
        <v>2</v>
      </c>
      <c r="J9" t="s">
        <v>522</v>
      </c>
    </row>
    <row r="10" spans="1:10" x14ac:dyDescent="0.3">
      <c r="A10" t="s">
        <v>439</v>
      </c>
      <c r="B10" t="s">
        <v>163</v>
      </c>
      <c r="C10" t="s">
        <v>23</v>
      </c>
      <c r="D10">
        <v>347.85</v>
      </c>
      <c r="E10">
        <v>10</v>
      </c>
      <c r="F10" t="s">
        <v>440</v>
      </c>
      <c r="G10" t="s">
        <v>441</v>
      </c>
      <c r="H10" t="s">
        <v>442</v>
      </c>
      <c r="I10">
        <v>2</v>
      </c>
      <c r="J10" t="s">
        <v>522</v>
      </c>
    </row>
    <row r="11" spans="1:10" x14ac:dyDescent="0.3">
      <c r="A11" t="s">
        <v>448</v>
      </c>
      <c r="B11" t="s">
        <v>107</v>
      </c>
      <c r="C11" t="s">
        <v>57</v>
      </c>
      <c r="D11">
        <v>333.26</v>
      </c>
      <c r="E11">
        <v>86</v>
      </c>
      <c r="F11" t="s">
        <v>449</v>
      </c>
      <c r="G11" t="s">
        <v>450</v>
      </c>
      <c r="H11" t="s">
        <v>451</v>
      </c>
      <c r="I11">
        <v>2</v>
      </c>
      <c r="J11" t="s">
        <v>522</v>
      </c>
    </row>
  </sheetData>
  <autoFilter ref="A1:J1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38" customWidth="1"/>
    <col min="2" max="2" width="24" customWidth="1"/>
    <col min="3" max="4" width="18" customWidth="1"/>
  </cols>
  <sheetData>
    <row r="1" spans="1:4" ht="30" customHeight="1" x14ac:dyDescent="0.3">
      <c r="A1" s="3" t="s">
        <v>0</v>
      </c>
      <c r="B1" s="2"/>
      <c r="C1" s="2"/>
      <c r="D1" s="2"/>
    </row>
    <row r="3" spans="1:4" x14ac:dyDescent="0.3">
      <c r="A3" s="4" t="s">
        <v>1</v>
      </c>
      <c r="B3" s="4" t="s">
        <v>2</v>
      </c>
    </row>
    <row r="4" spans="1:4" x14ac:dyDescent="0.3">
      <c r="A4" t="s">
        <v>3</v>
      </c>
      <c r="B4">
        <f>COUNTA('Original Data'!A2:A101)</f>
        <v>100</v>
      </c>
    </row>
    <row r="5" spans="1:4" x14ac:dyDescent="0.3">
      <c r="A5" t="s">
        <v>4</v>
      </c>
      <c r="B5">
        <f>COUNTIF('Original Data'!N2:N101,"Duplicate")</f>
        <v>10</v>
      </c>
    </row>
    <row r="6" spans="1:4" x14ac:dyDescent="0.3">
      <c r="A6" t="s">
        <v>5</v>
      </c>
      <c r="B6">
        <f>COUNTIF('Original Data'!N2:N101,"Unique")</f>
        <v>90</v>
      </c>
    </row>
    <row r="7" spans="1:4" x14ac:dyDescent="0.3">
      <c r="A7" t="s">
        <v>6</v>
      </c>
      <c r="B7">
        <f>SUMPRODUCT(('Original Data'!L2:L101&gt;1)/'Original Data'!L2:L101)</f>
        <v>5</v>
      </c>
    </row>
    <row r="8" spans="1:4" x14ac:dyDescent="0.3">
      <c r="A8" t="s">
        <v>7</v>
      </c>
      <c r="B8">
        <v>0</v>
      </c>
    </row>
    <row r="10" spans="1:4" x14ac:dyDescent="0.3">
      <c r="A10" t="s">
        <v>8</v>
      </c>
    </row>
    <row r="11" spans="1:4" ht="34.950000000000003" customHeight="1" x14ac:dyDescent="0.3">
      <c r="A11" s="5" t="s">
        <v>9</v>
      </c>
      <c r="B11" s="6"/>
      <c r="C11" s="6"/>
      <c r="D11" s="6"/>
    </row>
    <row r="12" spans="1:4" x14ac:dyDescent="0.3">
      <c r="A12" s="6"/>
      <c r="B12" s="6"/>
      <c r="C12" s="6"/>
      <c r="D12" s="6"/>
    </row>
  </sheetData>
  <autoFilter ref="A1:D12" xr:uid="{00000000-0009-0000-0000-000002000000}"/>
  <mergeCells count="1">
    <mergeCell ref="A11:D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8" customWidth="1"/>
    <col min="2" max="2" width="16" customWidth="1"/>
    <col min="3" max="3" width="17" customWidth="1"/>
    <col min="4" max="5" width="12" customWidth="1"/>
    <col min="6" max="6" width="35" customWidth="1"/>
    <col min="7" max="8" width="38" customWidth="1"/>
  </cols>
  <sheetData>
    <row r="1" spans="1:8" ht="30" customHeight="1" x14ac:dyDescent="0.3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</row>
    <row r="2" spans="1:8" x14ac:dyDescent="0.3">
      <c r="A2" t="s">
        <v>21</v>
      </c>
      <c r="B2" t="s">
        <v>22</v>
      </c>
      <c r="C2" t="s">
        <v>23</v>
      </c>
      <c r="D2">
        <v>352.18</v>
      </c>
      <c r="E2">
        <v>111</v>
      </c>
      <c r="F2" t="s">
        <v>24</v>
      </c>
      <c r="G2" t="s">
        <v>25</v>
      </c>
      <c r="H2" t="s">
        <v>26</v>
      </c>
    </row>
    <row r="3" spans="1:8" x14ac:dyDescent="0.3">
      <c r="A3" t="s">
        <v>27</v>
      </c>
      <c r="B3" t="s">
        <v>28</v>
      </c>
      <c r="C3" t="s">
        <v>29</v>
      </c>
      <c r="D3">
        <v>697.65</v>
      </c>
      <c r="E3">
        <v>229</v>
      </c>
      <c r="F3" t="s">
        <v>30</v>
      </c>
      <c r="G3" t="s">
        <v>31</v>
      </c>
      <c r="H3" t="s">
        <v>32</v>
      </c>
    </row>
    <row r="4" spans="1:8" x14ac:dyDescent="0.3">
      <c r="A4" t="s">
        <v>33</v>
      </c>
      <c r="B4" t="s">
        <v>34</v>
      </c>
      <c r="C4" t="s">
        <v>23</v>
      </c>
      <c r="D4">
        <v>836.31</v>
      </c>
      <c r="E4">
        <v>113</v>
      </c>
      <c r="F4" t="s">
        <v>35</v>
      </c>
      <c r="G4" t="s">
        <v>36</v>
      </c>
      <c r="H4" t="s">
        <v>37</v>
      </c>
    </row>
    <row r="5" spans="1:8" x14ac:dyDescent="0.3">
      <c r="A5" t="s">
        <v>38</v>
      </c>
      <c r="B5" t="s">
        <v>39</v>
      </c>
      <c r="C5" t="s">
        <v>40</v>
      </c>
      <c r="D5">
        <v>972.55</v>
      </c>
      <c r="E5">
        <v>218</v>
      </c>
      <c r="F5" t="s">
        <v>41</v>
      </c>
      <c r="G5" t="s">
        <v>42</v>
      </c>
      <c r="H5" t="s">
        <v>43</v>
      </c>
    </row>
    <row r="6" spans="1:8" x14ac:dyDescent="0.3">
      <c r="A6" t="s">
        <v>44</v>
      </c>
      <c r="B6" t="s">
        <v>45</v>
      </c>
      <c r="C6" t="s">
        <v>40</v>
      </c>
      <c r="D6">
        <v>625.47</v>
      </c>
      <c r="E6">
        <v>500</v>
      </c>
      <c r="F6" t="s">
        <v>46</v>
      </c>
      <c r="G6" t="s">
        <v>47</v>
      </c>
      <c r="H6" t="s">
        <v>48</v>
      </c>
    </row>
    <row r="7" spans="1:8" x14ac:dyDescent="0.3">
      <c r="A7" t="s">
        <v>49</v>
      </c>
      <c r="B7" t="s">
        <v>50</v>
      </c>
      <c r="C7" t="s">
        <v>51</v>
      </c>
      <c r="D7">
        <v>314.89</v>
      </c>
      <c r="E7">
        <v>301</v>
      </c>
      <c r="F7" t="s">
        <v>52</v>
      </c>
      <c r="G7" t="s">
        <v>53</v>
      </c>
      <c r="H7" t="s">
        <v>54</v>
      </c>
    </row>
    <row r="8" spans="1:8" x14ac:dyDescent="0.3">
      <c r="A8" t="s">
        <v>55</v>
      </c>
      <c r="B8" t="s">
        <v>56</v>
      </c>
      <c r="C8" t="s">
        <v>57</v>
      </c>
      <c r="D8">
        <v>304.74</v>
      </c>
      <c r="E8">
        <v>260</v>
      </c>
      <c r="F8" t="s">
        <v>58</v>
      </c>
      <c r="G8" t="s">
        <v>59</v>
      </c>
      <c r="H8" t="s">
        <v>60</v>
      </c>
    </row>
    <row r="9" spans="1:8" x14ac:dyDescent="0.3">
      <c r="A9" t="s">
        <v>61</v>
      </c>
      <c r="B9" t="s">
        <v>62</v>
      </c>
      <c r="C9" t="s">
        <v>51</v>
      </c>
      <c r="D9">
        <v>598.65</v>
      </c>
      <c r="E9">
        <v>253</v>
      </c>
      <c r="F9" t="s">
        <v>63</v>
      </c>
      <c r="G9" t="s">
        <v>64</v>
      </c>
      <c r="H9" t="s">
        <v>65</v>
      </c>
    </row>
    <row r="10" spans="1:8" x14ac:dyDescent="0.3">
      <c r="A10" t="s">
        <v>66</v>
      </c>
      <c r="B10" t="s">
        <v>67</v>
      </c>
      <c r="C10" t="s">
        <v>40</v>
      </c>
      <c r="D10">
        <v>673.36</v>
      </c>
      <c r="E10">
        <v>359</v>
      </c>
      <c r="F10" t="s">
        <v>68</v>
      </c>
      <c r="G10" t="s">
        <v>69</v>
      </c>
      <c r="H10" t="s">
        <v>70</v>
      </c>
    </row>
    <row r="11" spans="1:8" x14ac:dyDescent="0.3">
      <c r="A11" t="s">
        <v>71</v>
      </c>
      <c r="B11" t="s">
        <v>72</v>
      </c>
      <c r="C11" t="s">
        <v>57</v>
      </c>
      <c r="D11">
        <v>748.84</v>
      </c>
      <c r="E11">
        <v>109</v>
      </c>
      <c r="F11" t="s">
        <v>73</v>
      </c>
      <c r="G11" t="s">
        <v>74</v>
      </c>
      <c r="H11" t="s">
        <v>75</v>
      </c>
    </row>
    <row r="12" spans="1:8" x14ac:dyDescent="0.3">
      <c r="A12" t="s">
        <v>76</v>
      </c>
      <c r="B12" t="s">
        <v>77</v>
      </c>
      <c r="C12" t="s">
        <v>23</v>
      </c>
      <c r="D12">
        <v>778</v>
      </c>
      <c r="E12">
        <v>441</v>
      </c>
      <c r="F12" t="s">
        <v>78</v>
      </c>
      <c r="G12" t="s">
        <v>79</v>
      </c>
      <c r="H12" t="s">
        <v>80</v>
      </c>
    </row>
    <row r="13" spans="1:8" x14ac:dyDescent="0.3">
      <c r="A13" t="s">
        <v>81</v>
      </c>
      <c r="B13" t="s">
        <v>82</v>
      </c>
      <c r="C13" t="s">
        <v>23</v>
      </c>
      <c r="D13">
        <v>440.76</v>
      </c>
      <c r="E13">
        <v>41</v>
      </c>
      <c r="F13" t="s">
        <v>83</v>
      </c>
      <c r="G13" t="s">
        <v>84</v>
      </c>
      <c r="H13" t="s">
        <v>85</v>
      </c>
    </row>
    <row r="14" spans="1:8" x14ac:dyDescent="0.3">
      <c r="A14" t="s">
        <v>86</v>
      </c>
      <c r="B14" t="s">
        <v>87</v>
      </c>
      <c r="C14" t="s">
        <v>51</v>
      </c>
      <c r="D14">
        <v>24.68</v>
      </c>
      <c r="E14">
        <v>164</v>
      </c>
      <c r="F14" t="s">
        <v>88</v>
      </c>
      <c r="G14" t="s">
        <v>89</v>
      </c>
      <c r="H14" t="s">
        <v>90</v>
      </c>
    </row>
    <row r="15" spans="1:8" x14ac:dyDescent="0.3">
      <c r="A15" t="s">
        <v>91</v>
      </c>
      <c r="B15" t="s">
        <v>92</v>
      </c>
      <c r="C15" t="s">
        <v>23</v>
      </c>
      <c r="D15">
        <v>677.32</v>
      </c>
      <c r="E15">
        <v>389</v>
      </c>
      <c r="F15" t="s">
        <v>93</v>
      </c>
      <c r="G15" t="s">
        <v>94</v>
      </c>
      <c r="H15" t="s">
        <v>95</v>
      </c>
    </row>
    <row r="16" spans="1:8" x14ac:dyDescent="0.3">
      <c r="A16" t="s">
        <v>96</v>
      </c>
      <c r="B16" t="s">
        <v>97</v>
      </c>
      <c r="C16" t="s">
        <v>23</v>
      </c>
      <c r="D16">
        <v>940.58</v>
      </c>
      <c r="E16">
        <v>376</v>
      </c>
      <c r="F16" t="s">
        <v>98</v>
      </c>
      <c r="G16" t="s">
        <v>99</v>
      </c>
      <c r="H16" t="s">
        <v>100</v>
      </c>
    </row>
    <row r="17" spans="1:8" x14ac:dyDescent="0.3">
      <c r="A17" t="s">
        <v>101</v>
      </c>
      <c r="B17" t="s">
        <v>102</v>
      </c>
      <c r="C17" t="s">
        <v>23</v>
      </c>
      <c r="D17">
        <v>651.82000000000005</v>
      </c>
      <c r="E17">
        <v>263</v>
      </c>
      <c r="F17" t="s">
        <v>103</v>
      </c>
      <c r="G17" t="s">
        <v>104</v>
      </c>
      <c r="H17" t="s">
        <v>105</v>
      </c>
    </row>
    <row r="18" spans="1:8" x14ac:dyDescent="0.3">
      <c r="A18" t="s">
        <v>106</v>
      </c>
      <c r="B18" t="s">
        <v>107</v>
      </c>
      <c r="C18" t="s">
        <v>57</v>
      </c>
      <c r="D18">
        <v>727.77</v>
      </c>
      <c r="E18">
        <v>135</v>
      </c>
      <c r="F18" t="s">
        <v>108</v>
      </c>
      <c r="G18" t="s">
        <v>109</v>
      </c>
      <c r="H18" t="s">
        <v>110</v>
      </c>
    </row>
    <row r="19" spans="1:8" x14ac:dyDescent="0.3">
      <c r="A19" t="s">
        <v>111</v>
      </c>
      <c r="B19" t="s">
        <v>112</v>
      </c>
      <c r="C19" t="s">
        <v>23</v>
      </c>
      <c r="D19">
        <v>172.2</v>
      </c>
      <c r="E19">
        <v>488</v>
      </c>
      <c r="F19" t="s">
        <v>113</v>
      </c>
      <c r="G19" t="s">
        <v>114</v>
      </c>
      <c r="H19" t="s">
        <v>115</v>
      </c>
    </row>
    <row r="20" spans="1:8" x14ac:dyDescent="0.3">
      <c r="A20" t="s">
        <v>116</v>
      </c>
      <c r="B20" t="s">
        <v>117</v>
      </c>
      <c r="C20" t="s">
        <v>118</v>
      </c>
      <c r="D20">
        <v>734.71</v>
      </c>
      <c r="E20">
        <v>385</v>
      </c>
      <c r="F20" t="s">
        <v>119</v>
      </c>
      <c r="G20" t="s">
        <v>120</v>
      </c>
      <c r="H20" t="s">
        <v>121</v>
      </c>
    </row>
    <row r="21" spans="1:8" x14ac:dyDescent="0.3">
      <c r="A21" t="s">
        <v>122</v>
      </c>
      <c r="B21" t="s">
        <v>123</v>
      </c>
      <c r="C21" t="s">
        <v>57</v>
      </c>
      <c r="D21">
        <v>562.80999999999995</v>
      </c>
      <c r="E21">
        <v>8</v>
      </c>
      <c r="F21" t="s">
        <v>124</v>
      </c>
      <c r="G21" t="s">
        <v>125</v>
      </c>
      <c r="H21" t="s">
        <v>126</v>
      </c>
    </row>
    <row r="22" spans="1:8" x14ac:dyDescent="0.3">
      <c r="A22" t="s">
        <v>127</v>
      </c>
      <c r="B22" t="s">
        <v>128</v>
      </c>
      <c r="C22" t="s">
        <v>118</v>
      </c>
      <c r="D22">
        <v>50.07</v>
      </c>
      <c r="E22">
        <v>227</v>
      </c>
      <c r="F22" t="s">
        <v>129</v>
      </c>
      <c r="G22" t="s">
        <v>130</v>
      </c>
      <c r="H22" t="s">
        <v>131</v>
      </c>
    </row>
    <row r="23" spans="1:8" x14ac:dyDescent="0.3">
      <c r="A23" t="s">
        <v>132</v>
      </c>
      <c r="B23" t="s">
        <v>133</v>
      </c>
      <c r="C23" t="s">
        <v>118</v>
      </c>
      <c r="D23">
        <v>189.27</v>
      </c>
      <c r="E23">
        <v>438</v>
      </c>
      <c r="F23" t="s">
        <v>134</v>
      </c>
      <c r="G23" t="s">
        <v>135</v>
      </c>
      <c r="H23" t="s">
        <v>136</v>
      </c>
    </row>
    <row r="24" spans="1:8" x14ac:dyDescent="0.3">
      <c r="A24" t="s">
        <v>137</v>
      </c>
      <c r="B24" t="s">
        <v>138</v>
      </c>
      <c r="C24" t="s">
        <v>118</v>
      </c>
      <c r="D24">
        <v>585.75</v>
      </c>
      <c r="E24">
        <v>12</v>
      </c>
      <c r="F24" t="s">
        <v>139</v>
      </c>
      <c r="G24" t="s">
        <v>140</v>
      </c>
      <c r="H24" t="s">
        <v>141</v>
      </c>
    </row>
    <row r="25" spans="1:8" x14ac:dyDescent="0.3">
      <c r="A25" t="s">
        <v>142</v>
      </c>
      <c r="B25" t="s">
        <v>143</v>
      </c>
      <c r="C25" t="s">
        <v>51</v>
      </c>
      <c r="D25">
        <v>980.12</v>
      </c>
      <c r="E25">
        <v>351</v>
      </c>
      <c r="F25" t="s">
        <v>144</v>
      </c>
      <c r="G25" t="s">
        <v>145</v>
      </c>
      <c r="H25" t="s">
        <v>146</v>
      </c>
    </row>
    <row r="26" spans="1:8" x14ac:dyDescent="0.3">
      <c r="A26" t="s">
        <v>147</v>
      </c>
      <c r="B26" t="s">
        <v>148</v>
      </c>
      <c r="C26" t="s">
        <v>57</v>
      </c>
      <c r="D26">
        <v>204.35</v>
      </c>
      <c r="E26">
        <v>135</v>
      </c>
      <c r="F26" t="s">
        <v>149</v>
      </c>
      <c r="G26" t="s">
        <v>150</v>
      </c>
      <c r="H26" t="s">
        <v>151</v>
      </c>
    </row>
    <row r="27" spans="1:8" x14ac:dyDescent="0.3">
      <c r="A27" t="s">
        <v>152</v>
      </c>
      <c r="B27" t="s">
        <v>153</v>
      </c>
      <c r="C27" t="s">
        <v>29</v>
      </c>
      <c r="D27">
        <v>986.49</v>
      </c>
      <c r="E27">
        <v>319</v>
      </c>
      <c r="F27" t="s">
        <v>154</v>
      </c>
      <c r="G27" t="s">
        <v>155</v>
      </c>
      <c r="H27" t="s">
        <v>156</v>
      </c>
    </row>
    <row r="28" spans="1:8" x14ac:dyDescent="0.3">
      <c r="A28" t="s">
        <v>157</v>
      </c>
      <c r="B28" t="s">
        <v>158</v>
      </c>
      <c r="C28" t="s">
        <v>51</v>
      </c>
      <c r="D28">
        <v>947.87</v>
      </c>
      <c r="E28">
        <v>7</v>
      </c>
      <c r="F28" t="s">
        <v>159</v>
      </c>
      <c r="G28" t="s">
        <v>160</v>
      </c>
      <c r="H28" t="s">
        <v>161</v>
      </c>
    </row>
    <row r="29" spans="1:8" x14ac:dyDescent="0.3">
      <c r="A29" t="s">
        <v>162</v>
      </c>
      <c r="B29" t="s">
        <v>163</v>
      </c>
      <c r="C29" t="s">
        <v>51</v>
      </c>
      <c r="D29">
        <v>709.84</v>
      </c>
      <c r="E29">
        <v>167</v>
      </c>
      <c r="F29" t="s">
        <v>164</v>
      </c>
      <c r="G29" t="s">
        <v>165</v>
      </c>
      <c r="H29" t="s">
        <v>166</v>
      </c>
    </row>
    <row r="30" spans="1:8" x14ac:dyDescent="0.3">
      <c r="A30" t="s">
        <v>167</v>
      </c>
      <c r="B30" t="s">
        <v>168</v>
      </c>
      <c r="C30" t="s">
        <v>29</v>
      </c>
      <c r="D30">
        <v>900.19</v>
      </c>
      <c r="E30">
        <v>361</v>
      </c>
      <c r="F30" t="s">
        <v>169</v>
      </c>
      <c r="G30" t="s">
        <v>170</v>
      </c>
      <c r="H30" t="s">
        <v>171</v>
      </c>
    </row>
    <row r="31" spans="1:8" x14ac:dyDescent="0.3">
      <c r="A31" t="s">
        <v>172</v>
      </c>
      <c r="B31" t="s">
        <v>173</v>
      </c>
      <c r="C31" t="s">
        <v>23</v>
      </c>
      <c r="D31">
        <v>207.32</v>
      </c>
      <c r="E31">
        <v>337</v>
      </c>
      <c r="F31" t="s">
        <v>174</v>
      </c>
      <c r="G31" t="s">
        <v>175</v>
      </c>
      <c r="H31" t="s">
        <v>176</v>
      </c>
    </row>
    <row r="32" spans="1:8" x14ac:dyDescent="0.3">
      <c r="A32" t="s">
        <v>177</v>
      </c>
      <c r="B32" t="s">
        <v>178</v>
      </c>
      <c r="C32" t="s">
        <v>118</v>
      </c>
      <c r="D32">
        <v>974.96</v>
      </c>
      <c r="E32">
        <v>48</v>
      </c>
      <c r="F32" t="s">
        <v>179</v>
      </c>
      <c r="G32" t="s">
        <v>180</v>
      </c>
      <c r="H32" t="s">
        <v>181</v>
      </c>
    </row>
    <row r="33" spans="1:8" x14ac:dyDescent="0.3">
      <c r="A33" t="s">
        <v>182</v>
      </c>
      <c r="B33" t="s">
        <v>183</v>
      </c>
      <c r="C33" t="s">
        <v>23</v>
      </c>
      <c r="D33">
        <v>689.44</v>
      </c>
      <c r="E33">
        <v>409</v>
      </c>
      <c r="F33" t="s">
        <v>184</v>
      </c>
      <c r="G33" t="s">
        <v>185</v>
      </c>
      <c r="H33" t="s">
        <v>186</v>
      </c>
    </row>
    <row r="34" spans="1:8" x14ac:dyDescent="0.3">
      <c r="A34" t="s">
        <v>187</v>
      </c>
      <c r="B34" t="s">
        <v>188</v>
      </c>
      <c r="C34" t="s">
        <v>118</v>
      </c>
      <c r="D34">
        <v>364.11</v>
      </c>
      <c r="E34">
        <v>282</v>
      </c>
      <c r="F34" t="s">
        <v>189</v>
      </c>
      <c r="G34" t="s">
        <v>190</v>
      </c>
      <c r="H34" t="s">
        <v>191</v>
      </c>
    </row>
    <row r="35" spans="1:8" x14ac:dyDescent="0.3">
      <c r="A35" t="s">
        <v>192</v>
      </c>
      <c r="B35" t="s">
        <v>193</v>
      </c>
      <c r="C35" t="s">
        <v>51</v>
      </c>
      <c r="D35">
        <v>677.3</v>
      </c>
      <c r="E35">
        <v>462</v>
      </c>
      <c r="F35" t="s">
        <v>194</v>
      </c>
      <c r="G35" t="s">
        <v>195</v>
      </c>
      <c r="H35" t="s">
        <v>196</v>
      </c>
    </row>
    <row r="36" spans="1:8" x14ac:dyDescent="0.3">
      <c r="A36" t="s">
        <v>197</v>
      </c>
      <c r="B36" t="s">
        <v>198</v>
      </c>
      <c r="C36" t="s">
        <v>118</v>
      </c>
      <c r="D36">
        <v>245.77</v>
      </c>
      <c r="E36">
        <v>298</v>
      </c>
      <c r="F36" t="s">
        <v>199</v>
      </c>
      <c r="G36" t="s">
        <v>200</v>
      </c>
      <c r="H36" t="s">
        <v>201</v>
      </c>
    </row>
    <row r="37" spans="1:8" x14ac:dyDescent="0.3">
      <c r="A37" t="s">
        <v>202</v>
      </c>
      <c r="B37" t="s">
        <v>203</v>
      </c>
      <c r="C37" t="s">
        <v>118</v>
      </c>
      <c r="D37">
        <v>591.76</v>
      </c>
      <c r="E37">
        <v>123</v>
      </c>
      <c r="F37" t="s">
        <v>204</v>
      </c>
      <c r="G37" t="s">
        <v>205</v>
      </c>
      <c r="H37" t="s">
        <v>206</v>
      </c>
    </row>
    <row r="38" spans="1:8" x14ac:dyDescent="0.3">
      <c r="A38" t="s">
        <v>207</v>
      </c>
      <c r="B38" t="s">
        <v>208</v>
      </c>
      <c r="C38" t="s">
        <v>57</v>
      </c>
      <c r="D38">
        <v>739.81</v>
      </c>
      <c r="E38">
        <v>304</v>
      </c>
      <c r="F38" t="s">
        <v>209</v>
      </c>
      <c r="G38" t="s">
        <v>210</v>
      </c>
      <c r="H38" t="s">
        <v>211</v>
      </c>
    </row>
    <row r="39" spans="1:8" x14ac:dyDescent="0.3">
      <c r="A39" t="s">
        <v>212</v>
      </c>
      <c r="B39" t="s">
        <v>213</v>
      </c>
      <c r="C39" t="s">
        <v>23</v>
      </c>
      <c r="D39">
        <v>493.23</v>
      </c>
      <c r="E39">
        <v>456</v>
      </c>
      <c r="F39" t="s">
        <v>214</v>
      </c>
      <c r="G39" t="s">
        <v>215</v>
      </c>
      <c r="H39" t="s">
        <v>216</v>
      </c>
    </row>
    <row r="40" spans="1:8" x14ac:dyDescent="0.3">
      <c r="A40" t="s">
        <v>217</v>
      </c>
      <c r="B40" t="s">
        <v>218</v>
      </c>
      <c r="C40" t="s">
        <v>118</v>
      </c>
      <c r="D40">
        <v>939.53</v>
      </c>
      <c r="E40">
        <v>7</v>
      </c>
      <c r="F40" t="s">
        <v>219</v>
      </c>
      <c r="G40" t="s">
        <v>220</v>
      </c>
      <c r="H40" t="s">
        <v>221</v>
      </c>
    </row>
    <row r="41" spans="1:8" x14ac:dyDescent="0.3">
      <c r="A41" t="s">
        <v>222</v>
      </c>
      <c r="B41" t="s">
        <v>223</v>
      </c>
      <c r="C41" t="s">
        <v>40</v>
      </c>
      <c r="D41">
        <v>980.22</v>
      </c>
      <c r="E41">
        <v>307</v>
      </c>
      <c r="F41" t="s">
        <v>224</v>
      </c>
      <c r="G41" t="s">
        <v>225</v>
      </c>
      <c r="H41" t="s">
        <v>226</v>
      </c>
    </row>
    <row r="42" spans="1:8" x14ac:dyDescent="0.3">
      <c r="A42" t="s">
        <v>227</v>
      </c>
      <c r="B42" t="s">
        <v>228</v>
      </c>
      <c r="C42" t="s">
        <v>51</v>
      </c>
      <c r="D42">
        <v>309.97000000000003</v>
      </c>
      <c r="E42">
        <v>233</v>
      </c>
      <c r="F42" t="s">
        <v>229</v>
      </c>
      <c r="G42" t="s">
        <v>230</v>
      </c>
      <c r="H42" t="s">
        <v>231</v>
      </c>
    </row>
    <row r="43" spans="1:8" x14ac:dyDescent="0.3">
      <c r="A43" t="s">
        <v>232</v>
      </c>
      <c r="B43" t="s">
        <v>233</v>
      </c>
      <c r="C43" t="s">
        <v>23</v>
      </c>
      <c r="D43">
        <v>138.79</v>
      </c>
      <c r="E43">
        <v>66</v>
      </c>
      <c r="F43" t="s">
        <v>234</v>
      </c>
      <c r="G43" t="s">
        <v>235</v>
      </c>
      <c r="H43" t="s">
        <v>236</v>
      </c>
    </row>
    <row r="44" spans="1:8" x14ac:dyDescent="0.3">
      <c r="A44" t="s">
        <v>237</v>
      </c>
      <c r="B44" t="s">
        <v>238</v>
      </c>
      <c r="C44" t="s">
        <v>57</v>
      </c>
      <c r="D44">
        <v>318.45</v>
      </c>
      <c r="E44">
        <v>379</v>
      </c>
      <c r="F44" t="s">
        <v>239</v>
      </c>
      <c r="G44" t="s">
        <v>240</v>
      </c>
      <c r="H44" t="s">
        <v>241</v>
      </c>
    </row>
    <row r="45" spans="1:8" x14ac:dyDescent="0.3">
      <c r="A45" t="s">
        <v>242</v>
      </c>
      <c r="B45" t="s">
        <v>243</v>
      </c>
      <c r="C45" t="s">
        <v>29</v>
      </c>
      <c r="D45">
        <v>374.2</v>
      </c>
      <c r="E45">
        <v>30</v>
      </c>
      <c r="F45" t="s">
        <v>244</v>
      </c>
      <c r="G45" t="s">
        <v>245</v>
      </c>
      <c r="H45" t="s">
        <v>246</v>
      </c>
    </row>
    <row r="46" spans="1:8" x14ac:dyDescent="0.3">
      <c r="A46" t="s">
        <v>247</v>
      </c>
      <c r="B46" t="s">
        <v>248</v>
      </c>
      <c r="C46" t="s">
        <v>118</v>
      </c>
      <c r="D46">
        <v>930.22</v>
      </c>
      <c r="E46">
        <v>380</v>
      </c>
      <c r="F46" t="s">
        <v>249</v>
      </c>
      <c r="G46" t="s">
        <v>250</v>
      </c>
      <c r="H46" t="s">
        <v>251</v>
      </c>
    </row>
    <row r="47" spans="1:8" x14ac:dyDescent="0.3">
      <c r="A47" t="s">
        <v>252</v>
      </c>
      <c r="B47" t="s">
        <v>72</v>
      </c>
      <c r="C47" t="s">
        <v>40</v>
      </c>
      <c r="D47">
        <v>616.08000000000004</v>
      </c>
      <c r="E47">
        <v>154</v>
      </c>
      <c r="F47" t="s">
        <v>253</v>
      </c>
      <c r="G47" t="s">
        <v>254</v>
      </c>
      <c r="H47" t="s">
        <v>255</v>
      </c>
    </row>
    <row r="48" spans="1:8" x14ac:dyDescent="0.3">
      <c r="A48" t="s">
        <v>256</v>
      </c>
      <c r="B48" t="s">
        <v>257</v>
      </c>
      <c r="C48" t="s">
        <v>23</v>
      </c>
      <c r="D48">
        <v>747.07</v>
      </c>
      <c r="E48">
        <v>379</v>
      </c>
      <c r="F48" t="s">
        <v>258</v>
      </c>
      <c r="G48" t="s">
        <v>259</v>
      </c>
      <c r="H48" t="s">
        <v>260</v>
      </c>
    </row>
    <row r="49" spans="1:8" x14ac:dyDescent="0.3">
      <c r="A49" t="s">
        <v>261</v>
      </c>
      <c r="B49" t="s">
        <v>262</v>
      </c>
      <c r="C49" t="s">
        <v>29</v>
      </c>
      <c r="D49">
        <v>830.43</v>
      </c>
      <c r="E49">
        <v>80</v>
      </c>
      <c r="F49" t="s">
        <v>263</v>
      </c>
      <c r="G49" t="s">
        <v>264</v>
      </c>
      <c r="H49" t="s">
        <v>265</v>
      </c>
    </row>
    <row r="50" spans="1:8" x14ac:dyDescent="0.3">
      <c r="A50" t="s">
        <v>266</v>
      </c>
      <c r="B50" t="s">
        <v>267</v>
      </c>
      <c r="C50" t="s">
        <v>23</v>
      </c>
      <c r="D50">
        <v>205.12</v>
      </c>
      <c r="E50">
        <v>22</v>
      </c>
      <c r="F50" t="s">
        <v>268</v>
      </c>
      <c r="G50" t="s">
        <v>269</v>
      </c>
      <c r="H50" t="s">
        <v>270</v>
      </c>
    </row>
    <row r="51" spans="1:8" x14ac:dyDescent="0.3">
      <c r="A51" t="s">
        <v>271</v>
      </c>
      <c r="B51" t="s">
        <v>272</v>
      </c>
      <c r="C51" t="s">
        <v>118</v>
      </c>
      <c r="D51">
        <v>361.6</v>
      </c>
      <c r="E51">
        <v>148</v>
      </c>
      <c r="F51" t="s">
        <v>273</v>
      </c>
      <c r="G51" t="s">
        <v>274</v>
      </c>
      <c r="H51" t="s">
        <v>275</v>
      </c>
    </row>
    <row r="52" spans="1:8" x14ac:dyDescent="0.3">
      <c r="A52" t="s">
        <v>276</v>
      </c>
      <c r="B52" t="s">
        <v>277</v>
      </c>
      <c r="C52" t="s">
        <v>40</v>
      </c>
      <c r="D52">
        <v>856.34</v>
      </c>
      <c r="E52">
        <v>467</v>
      </c>
      <c r="F52" t="s">
        <v>278</v>
      </c>
      <c r="G52" t="s">
        <v>279</v>
      </c>
      <c r="H52" t="s">
        <v>280</v>
      </c>
    </row>
    <row r="53" spans="1:8" x14ac:dyDescent="0.3">
      <c r="A53" t="s">
        <v>281</v>
      </c>
      <c r="B53" t="s">
        <v>282</v>
      </c>
      <c r="C53" t="s">
        <v>23</v>
      </c>
      <c r="D53">
        <v>919.27</v>
      </c>
      <c r="E53">
        <v>55</v>
      </c>
      <c r="F53" t="s">
        <v>283</v>
      </c>
      <c r="G53" t="s">
        <v>284</v>
      </c>
      <c r="H53" t="s">
        <v>285</v>
      </c>
    </row>
    <row r="54" spans="1:8" x14ac:dyDescent="0.3">
      <c r="A54" t="s">
        <v>286</v>
      </c>
      <c r="B54" t="s">
        <v>287</v>
      </c>
      <c r="C54" t="s">
        <v>118</v>
      </c>
      <c r="D54">
        <v>89.2</v>
      </c>
      <c r="E54">
        <v>139</v>
      </c>
      <c r="F54" t="s">
        <v>288</v>
      </c>
      <c r="G54" t="s">
        <v>289</v>
      </c>
      <c r="H54" t="s">
        <v>290</v>
      </c>
    </row>
    <row r="55" spans="1:8" x14ac:dyDescent="0.3">
      <c r="A55" t="s">
        <v>291</v>
      </c>
      <c r="B55" t="s">
        <v>292</v>
      </c>
      <c r="C55" t="s">
        <v>57</v>
      </c>
      <c r="D55">
        <v>741.38</v>
      </c>
      <c r="E55">
        <v>360</v>
      </c>
      <c r="F55" t="s">
        <v>293</v>
      </c>
      <c r="G55" t="s">
        <v>294</v>
      </c>
      <c r="H55" t="s">
        <v>295</v>
      </c>
    </row>
    <row r="56" spans="1:8" x14ac:dyDescent="0.3">
      <c r="A56" t="s">
        <v>296</v>
      </c>
      <c r="B56" t="s">
        <v>297</v>
      </c>
      <c r="C56" t="s">
        <v>57</v>
      </c>
      <c r="D56">
        <v>669.63</v>
      </c>
      <c r="E56">
        <v>156</v>
      </c>
      <c r="F56" t="s">
        <v>298</v>
      </c>
      <c r="G56" t="s">
        <v>299</v>
      </c>
      <c r="H56" t="s">
        <v>300</v>
      </c>
    </row>
    <row r="57" spans="1:8" x14ac:dyDescent="0.3">
      <c r="A57" t="s">
        <v>301</v>
      </c>
      <c r="B57" t="s">
        <v>302</v>
      </c>
      <c r="C57" t="s">
        <v>23</v>
      </c>
      <c r="D57">
        <v>686.23</v>
      </c>
      <c r="E57">
        <v>124</v>
      </c>
      <c r="F57" t="s">
        <v>303</v>
      </c>
      <c r="G57" t="s">
        <v>304</v>
      </c>
      <c r="H57" t="s">
        <v>305</v>
      </c>
    </row>
    <row r="58" spans="1:8" x14ac:dyDescent="0.3">
      <c r="A58" t="s">
        <v>306</v>
      </c>
      <c r="B58" t="s">
        <v>307</v>
      </c>
      <c r="C58" t="s">
        <v>29</v>
      </c>
      <c r="D58">
        <v>541.41</v>
      </c>
      <c r="E58">
        <v>384</v>
      </c>
      <c r="F58" t="s">
        <v>308</v>
      </c>
      <c r="G58" t="s">
        <v>309</v>
      </c>
      <c r="H58" t="s">
        <v>310</v>
      </c>
    </row>
    <row r="59" spans="1:8" x14ac:dyDescent="0.3">
      <c r="A59" t="s">
        <v>311</v>
      </c>
      <c r="B59" t="s">
        <v>312</v>
      </c>
      <c r="C59" t="s">
        <v>118</v>
      </c>
      <c r="D59">
        <v>578.22</v>
      </c>
      <c r="E59">
        <v>221</v>
      </c>
      <c r="F59" t="s">
        <v>313</v>
      </c>
      <c r="G59" t="s">
        <v>314</v>
      </c>
      <c r="H59" t="s">
        <v>315</v>
      </c>
    </row>
    <row r="60" spans="1:8" x14ac:dyDescent="0.3">
      <c r="A60" t="s">
        <v>316</v>
      </c>
      <c r="B60" t="s">
        <v>317</v>
      </c>
      <c r="C60" t="s">
        <v>57</v>
      </c>
      <c r="D60">
        <v>281.22000000000003</v>
      </c>
      <c r="E60">
        <v>64</v>
      </c>
      <c r="F60" t="s">
        <v>318</v>
      </c>
      <c r="G60" t="s">
        <v>319</v>
      </c>
      <c r="H60" t="s">
        <v>320</v>
      </c>
    </row>
    <row r="61" spans="1:8" x14ac:dyDescent="0.3">
      <c r="A61" t="s">
        <v>321</v>
      </c>
      <c r="B61" t="s">
        <v>322</v>
      </c>
      <c r="C61" t="s">
        <v>23</v>
      </c>
      <c r="D61">
        <v>12.81</v>
      </c>
      <c r="E61">
        <v>327</v>
      </c>
      <c r="F61" t="s">
        <v>323</v>
      </c>
      <c r="G61" t="s">
        <v>324</v>
      </c>
      <c r="H61" t="s">
        <v>325</v>
      </c>
    </row>
    <row r="62" spans="1:8" x14ac:dyDescent="0.3">
      <c r="A62" t="s">
        <v>326</v>
      </c>
      <c r="B62" t="s">
        <v>277</v>
      </c>
      <c r="C62" t="s">
        <v>57</v>
      </c>
      <c r="D62">
        <v>816.07</v>
      </c>
      <c r="E62">
        <v>350</v>
      </c>
      <c r="F62" t="s">
        <v>327</v>
      </c>
      <c r="G62" t="s">
        <v>328</v>
      </c>
      <c r="H62" t="s">
        <v>329</v>
      </c>
    </row>
    <row r="63" spans="1:8" x14ac:dyDescent="0.3">
      <c r="A63" t="s">
        <v>330</v>
      </c>
      <c r="B63" t="s">
        <v>331</v>
      </c>
      <c r="C63" t="s">
        <v>29</v>
      </c>
      <c r="D63">
        <v>905.89</v>
      </c>
      <c r="E63">
        <v>130</v>
      </c>
      <c r="F63" t="s">
        <v>332</v>
      </c>
      <c r="G63" t="s">
        <v>333</v>
      </c>
      <c r="H63" t="s">
        <v>334</v>
      </c>
    </row>
    <row r="64" spans="1:8" x14ac:dyDescent="0.3">
      <c r="A64" t="s">
        <v>335</v>
      </c>
      <c r="B64" t="s">
        <v>336</v>
      </c>
      <c r="C64" t="s">
        <v>29</v>
      </c>
      <c r="D64">
        <v>362.37</v>
      </c>
      <c r="E64">
        <v>263</v>
      </c>
      <c r="F64" t="s">
        <v>337</v>
      </c>
      <c r="G64" t="s">
        <v>338</v>
      </c>
      <c r="H64" t="s">
        <v>339</v>
      </c>
    </row>
    <row r="65" spans="1:8" x14ac:dyDescent="0.3">
      <c r="A65" t="s">
        <v>340</v>
      </c>
      <c r="B65" t="s">
        <v>341</v>
      </c>
      <c r="C65" t="s">
        <v>29</v>
      </c>
      <c r="D65">
        <v>467.08</v>
      </c>
      <c r="E65">
        <v>334</v>
      </c>
      <c r="F65" t="s">
        <v>342</v>
      </c>
      <c r="G65" t="s">
        <v>343</v>
      </c>
      <c r="H65" t="s">
        <v>344</v>
      </c>
    </row>
    <row r="66" spans="1:8" x14ac:dyDescent="0.3">
      <c r="A66" t="s">
        <v>345</v>
      </c>
      <c r="B66" t="s">
        <v>346</v>
      </c>
      <c r="C66" t="s">
        <v>118</v>
      </c>
      <c r="D66">
        <v>610.6</v>
      </c>
      <c r="E66">
        <v>184</v>
      </c>
      <c r="F66" t="s">
        <v>347</v>
      </c>
      <c r="G66" t="s">
        <v>348</v>
      </c>
      <c r="H66" t="s">
        <v>349</v>
      </c>
    </row>
    <row r="67" spans="1:8" x14ac:dyDescent="0.3">
      <c r="A67" t="s">
        <v>350</v>
      </c>
      <c r="B67" t="s">
        <v>351</v>
      </c>
      <c r="C67" t="s">
        <v>40</v>
      </c>
      <c r="D67">
        <v>161.65</v>
      </c>
      <c r="E67">
        <v>142</v>
      </c>
      <c r="F67" t="s">
        <v>352</v>
      </c>
      <c r="G67" t="s">
        <v>353</v>
      </c>
      <c r="H67" t="s">
        <v>354</v>
      </c>
    </row>
    <row r="68" spans="1:8" x14ac:dyDescent="0.3">
      <c r="A68" t="s">
        <v>355</v>
      </c>
      <c r="B68" t="s">
        <v>356</v>
      </c>
      <c r="C68" t="s">
        <v>23</v>
      </c>
      <c r="D68">
        <v>763.42</v>
      </c>
      <c r="E68">
        <v>396</v>
      </c>
      <c r="F68" t="s">
        <v>357</v>
      </c>
      <c r="G68" t="s">
        <v>358</v>
      </c>
      <c r="H68" t="s">
        <v>359</v>
      </c>
    </row>
    <row r="69" spans="1:8" x14ac:dyDescent="0.3">
      <c r="A69" t="s">
        <v>360</v>
      </c>
      <c r="B69" t="s">
        <v>361</v>
      </c>
      <c r="C69" t="s">
        <v>29</v>
      </c>
      <c r="D69">
        <v>366.11</v>
      </c>
      <c r="E69">
        <v>180</v>
      </c>
      <c r="F69" t="s">
        <v>362</v>
      </c>
      <c r="G69" t="s">
        <v>363</v>
      </c>
      <c r="H69" t="s">
        <v>364</v>
      </c>
    </row>
    <row r="70" spans="1:8" x14ac:dyDescent="0.3">
      <c r="A70" t="s">
        <v>365</v>
      </c>
      <c r="B70" t="s">
        <v>366</v>
      </c>
      <c r="C70" t="s">
        <v>23</v>
      </c>
      <c r="D70">
        <v>154</v>
      </c>
      <c r="E70">
        <v>393</v>
      </c>
      <c r="F70" t="s">
        <v>367</v>
      </c>
      <c r="G70" t="s">
        <v>368</v>
      </c>
      <c r="H70" t="s">
        <v>369</v>
      </c>
    </row>
    <row r="71" spans="1:8" x14ac:dyDescent="0.3">
      <c r="A71" t="s">
        <v>370</v>
      </c>
      <c r="B71" t="s">
        <v>371</v>
      </c>
      <c r="C71" t="s">
        <v>118</v>
      </c>
      <c r="D71">
        <v>226.35</v>
      </c>
      <c r="E71">
        <v>182</v>
      </c>
      <c r="F71" t="s">
        <v>372</v>
      </c>
      <c r="G71" t="s">
        <v>373</v>
      </c>
      <c r="H71" t="s">
        <v>374</v>
      </c>
    </row>
    <row r="72" spans="1:8" x14ac:dyDescent="0.3">
      <c r="A72" t="s">
        <v>375</v>
      </c>
      <c r="B72" t="s">
        <v>257</v>
      </c>
      <c r="C72" t="s">
        <v>118</v>
      </c>
      <c r="D72">
        <v>220.38</v>
      </c>
      <c r="E72">
        <v>71</v>
      </c>
      <c r="F72" t="s">
        <v>376</v>
      </c>
      <c r="G72" t="s">
        <v>377</v>
      </c>
      <c r="H72" t="s">
        <v>378</v>
      </c>
    </row>
    <row r="73" spans="1:8" x14ac:dyDescent="0.3">
      <c r="A73" t="s">
        <v>379</v>
      </c>
      <c r="B73" t="s">
        <v>380</v>
      </c>
      <c r="C73" t="s">
        <v>51</v>
      </c>
      <c r="D73">
        <v>697.65</v>
      </c>
      <c r="E73">
        <v>25</v>
      </c>
      <c r="F73" t="s">
        <v>381</v>
      </c>
      <c r="G73" t="s">
        <v>382</v>
      </c>
      <c r="H73" t="s">
        <v>383</v>
      </c>
    </row>
    <row r="74" spans="1:8" x14ac:dyDescent="0.3">
      <c r="A74" t="s">
        <v>384</v>
      </c>
      <c r="B74" t="s">
        <v>385</v>
      </c>
      <c r="C74" t="s">
        <v>40</v>
      </c>
      <c r="D74">
        <v>978.76</v>
      </c>
      <c r="E74">
        <v>27</v>
      </c>
      <c r="F74" t="s">
        <v>386</v>
      </c>
      <c r="G74" t="s">
        <v>387</v>
      </c>
      <c r="H74" t="s">
        <v>388</v>
      </c>
    </row>
    <row r="75" spans="1:8" x14ac:dyDescent="0.3">
      <c r="A75" t="s">
        <v>389</v>
      </c>
      <c r="B75" t="s">
        <v>390</v>
      </c>
      <c r="C75" t="s">
        <v>57</v>
      </c>
      <c r="D75">
        <v>535.99</v>
      </c>
      <c r="E75">
        <v>146</v>
      </c>
      <c r="F75" t="s">
        <v>391</v>
      </c>
      <c r="G75" t="s">
        <v>392</v>
      </c>
      <c r="H75" t="s">
        <v>393</v>
      </c>
    </row>
    <row r="76" spans="1:8" x14ac:dyDescent="0.3">
      <c r="A76" t="s">
        <v>394</v>
      </c>
      <c r="B76" t="s">
        <v>395</v>
      </c>
      <c r="C76" t="s">
        <v>40</v>
      </c>
      <c r="D76">
        <v>13.8</v>
      </c>
      <c r="E76">
        <v>460</v>
      </c>
      <c r="F76" t="s">
        <v>396</v>
      </c>
      <c r="G76" t="s">
        <v>397</v>
      </c>
      <c r="H76" t="s">
        <v>398</v>
      </c>
    </row>
    <row r="77" spans="1:8" x14ac:dyDescent="0.3">
      <c r="A77" t="s">
        <v>399</v>
      </c>
      <c r="B77" t="s">
        <v>400</v>
      </c>
      <c r="C77" t="s">
        <v>29</v>
      </c>
      <c r="D77">
        <v>876.76</v>
      </c>
      <c r="E77">
        <v>164</v>
      </c>
      <c r="F77" t="s">
        <v>401</v>
      </c>
      <c r="G77" t="s">
        <v>402</v>
      </c>
      <c r="H77" t="s">
        <v>403</v>
      </c>
    </row>
    <row r="78" spans="1:8" x14ac:dyDescent="0.3">
      <c r="A78" t="s">
        <v>404</v>
      </c>
      <c r="B78" t="s">
        <v>405</v>
      </c>
      <c r="C78" t="s">
        <v>51</v>
      </c>
      <c r="D78">
        <v>857.02</v>
      </c>
      <c r="E78">
        <v>212</v>
      </c>
      <c r="F78" t="s">
        <v>406</v>
      </c>
      <c r="G78" t="s">
        <v>407</v>
      </c>
      <c r="H78" t="s">
        <v>408</v>
      </c>
    </row>
    <row r="79" spans="1:8" x14ac:dyDescent="0.3">
      <c r="A79" t="s">
        <v>409</v>
      </c>
      <c r="B79" t="s">
        <v>410</v>
      </c>
      <c r="C79" t="s">
        <v>57</v>
      </c>
      <c r="D79">
        <v>301.62</v>
      </c>
      <c r="E79">
        <v>183</v>
      </c>
      <c r="F79" t="s">
        <v>411</v>
      </c>
      <c r="G79" t="s">
        <v>412</v>
      </c>
      <c r="H79" t="s">
        <v>413</v>
      </c>
    </row>
    <row r="80" spans="1:8" x14ac:dyDescent="0.3">
      <c r="A80" t="s">
        <v>414</v>
      </c>
      <c r="B80" t="s">
        <v>415</v>
      </c>
      <c r="C80" t="s">
        <v>23</v>
      </c>
      <c r="D80">
        <v>335.74</v>
      </c>
      <c r="E80">
        <v>407</v>
      </c>
      <c r="F80" t="s">
        <v>416</v>
      </c>
      <c r="G80" t="s">
        <v>417</v>
      </c>
      <c r="H80" t="s">
        <v>418</v>
      </c>
    </row>
    <row r="81" spans="1:8" x14ac:dyDescent="0.3">
      <c r="A81" t="s">
        <v>419</v>
      </c>
      <c r="B81" t="s">
        <v>420</v>
      </c>
      <c r="C81" t="s">
        <v>29</v>
      </c>
      <c r="D81">
        <v>524.49</v>
      </c>
      <c r="E81">
        <v>420</v>
      </c>
      <c r="F81" t="s">
        <v>421</v>
      </c>
      <c r="G81" t="s">
        <v>422</v>
      </c>
      <c r="H81" t="s">
        <v>423</v>
      </c>
    </row>
    <row r="82" spans="1:8" x14ac:dyDescent="0.3">
      <c r="A82" t="s">
        <v>424</v>
      </c>
      <c r="B82" t="s">
        <v>425</v>
      </c>
      <c r="C82" t="s">
        <v>57</v>
      </c>
      <c r="D82">
        <v>677.36</v>
      </c>
      <c r="E82">
        <v>192</v>
      </c>
      <c r="F82" t="s">
        <v>426</v>
      </c>
      <c r="G82" t="s">
        <v>427</v>
      </c>
      <c r="H82" t="s">
        <v>428</v>
      </c>
    </row>
    <row r="83" spans="1:8" x14ac:dyDescent="0.3">
      <c r="A83" t="s">
        <v>429</v>
      </c>
      <c r="B83" t="s">
        <v>430</v>
      </c>
      <c r="C83" t="s">
        <v>23</v>
      </c>
      <c r="D83">
        <v>182.7</v>
      </c>
      <c r="E83">
        <v>488</v>
      </c>
      <c r="F83" t="s">
        <v>431</v>
      </c>
      <c r="G83" t="s">
        <v>432</v>
      </c>
      <c r="H83" t="s">
        <v>433</v>
      </c>
    </row>
    <row r="84" spans="1:8" x14ac:dyDescent="0.3">
      <c r="A84" t="s">
        <v>434</v>
      </c>
      <c r="B84" t="s">
        <v>435</v>
      </c>
      <c r="C84" t="s">
        <v>57</v>
      </c>
      <c r="D84">
        <v>272.85000000000002</v>
      </c>
      <c r="E84">
        <v>168</v>
      </c>
      <c r="F84" t="s">
        <v>436</v>
      </c>
      <c r="G84" t="s">
        <v>437</v>
      </c>
      <c r="H84" t="s">
        <v>438</v>
      </c>
    </row>
    <row r="85" spans="1:8" x14ac:dyDescent="0.3">
      <c r="A85" t="s">
        <v>439</v>
      </c>
      <c r="B85" t="s">
        <v>163</v>
      </c>
      <c r="C85" t="s">
        <v>23</v>
      </c>
      <c r="D85">
        <v>347.85</v>
      </c>
      <c r="E85">
        <v>10</v>
      </c>
      <c r="F85" t="s">
        <v>440</v>
      </c>
      <c r="G85" t="s">
        <v>441</v>
      </c>
      <c r="H85" t="s">
        <v>442</v>
      </c>
    </row>
    <row r="86" spans="1:8" x14ac:dyDescent="0.3">
      <c r="A86" t="s">
        <v>443</v>
      </c>
      <c r="B86" t="s">
        <v>444</v>
      </c>
      <c r="C86" t="s">
        <v>57</v>
      </c>
      <c r="D86">
        <v>35.729999999999997</v>
      </c>
      <c r="E86">
        <v>270</v>
      </c>
      <c r="F86" t="s">
        <v>445</v>
      </c>
      <c r="G86" t="s">
        <v>446</v>
      </c>
      <c r="H86" t="s">
        <v>447</v>
      </c>
    </row>
    <row r="87" spans="1:8" x14ac:dyDescent="0.3">
      <c r="A87" t="s">
        <v>448</v>
      </c>
      <c r="B87" t="s">
        <v>107</v>
      </c>
      <c r="C87" t="s">
        <v>57</v>
      </c>
      <c r="D87">
        <v>333.26</v>
      </c>
      <c r="E87">
        <v>86</v>
      </c>
      <c r="F87" t="s">
        <v>449</v>
      </c>
      <c r="G87" t="s">
        <v>450</v>
      </c>
      <c r="H87" t="s">
        <v>451</v>
      </c>
    </row>
    <row r="88" spans="1:8" x14ac:dyDescent="0.3">
      <c r="A88" t="s">
        <v>452</v>
      </c>
      <c r="B88" t="s">
        <v>453</v>
      </c>
      <c r="C88" t="s">
        <v>23</v>
      </c>
      <c r="D88">
        <v>267.49</v>
      </c>
      <c r="E88">
        <v>419</v>
      </c>
      <c r="F88" t="s">
        <v>454</v>
      </c>
      <c r="G88" t="s">
        <v>455</v>
      </c>
      <c r="H88" t="s">
        <v>456</v>
      </c>
    </row>
    <row r="89" spans="1:8" x14ac:dyDescent="0.3">
      <c r="A89" t="s">
        <v>457</v>
      </c>
      <c r="B89" t="s">
        <v>458</v>
      </c>
      <c r="C89" t="s">
        <v>118</v>
      </c>
      <c r="D89">
        <v>860.94</v>
      </c>
      <c r="E89">
        <v>438</v>
      </c>
      <c r="F89" t="s">
        <v>459</v>
      </c>
      <c r="G89" t="s">
        <v>460</v>
      </c>
      <c r="H89" t="s">
        <v>461</v>
      </c>
    </row>
    <row r="90" spans="1:8" x14ac:dyDescent="0.3">
      <c r="A90" t="s">
        <v>462</v>
      </c>
      <c r="B90" t="s">
        <v>463</v>
      </c>
      <c r="C90" t="s">
        <v>23</v>
      </c>
      <c r="D90">
        <v>37.26</v>
      </c>
      <c r="E90">
        <v>232</v>
      </c>
      <c r="F90" t="s">
        <v>464</v>
      </c>
      <c r="G90" t="s">
        <v>465</v>
      </c>
      <c r="H90" t="s">
        <v>466</v>
      </c>
    </row>
    <row r="91" spans="1:8" x14ac:dyDescent="0.3">
      <c r="A91" t="s">
        <v>467</v>
      </c>
      <c r="B91" t="s">
        <v>468</v>
      </c>
      <c r="C91" t="s">
        <v>40</v>
      </c>
      <c r="D91">
        <v>705.62</v>
      </c>
      <c r="E91">
        <v>92</v>
      </c>
      <c r="F91" t="s">
        <v>469</v>
      </c>
      <c r="G91" t="s">
        <v>470</v>
      </c>
      <c r="H91" t="s">
        <v>471</v>
      </c>
    </row>
    <row r="92" spans="1:8" x14ac:dyDescent="0.3">
      <c r="A92" t="s">
        <v>472</v>
      </c>
      <c r="B92" t="s">
        <v>473</v>
      </c>
      <c r="C92" t="s">
        <v>29</v>
      </c>
      <c r="D92">
        <v>930.35</v>
      </c>
      <c r="E92">
        <v>129</v>
      </c>
      <c r="F92" t="s">
        <v>474</v>
      </c>
      <c r="G92" t="s">
        <v>475</v>
      </c>
      <c r="H92" t="s">
        <v>476</v>
      </c>
    </row>
    <row r="93" spans="1:8" x14ac:dyDescent="0.3">
      <c r="A93" t="s">
        <v>477</v>
      </c>
      <c r="B93" t="s">
        <v>478</v>
      </c>
      <c r="C93" t="s">
        <v>118</v>
      </c>
      <c r="D93">
        <v>933.27</v>
      </c>
      <c r="E93">
        <v>240</v>
      </c>
      <c r="F93" t="s">
        <v>479</v>
      </c>
      <c r="G93" t="s">
        <v>480</v>
      </c>
      <c r="H93" t="s">
        <v>481</v>
      </c>
    </row>
    <row r="94" spans="1:8" x14ac:dyDescent="0.3">
      <c r="A94" t="s">
        <v>482</v>
      </c>
      <c r="B94" t="s">
        <v>483</v>
      </c>
      <c r="C94" t="s">
        <v>40</v>
      </c>
      <c r="D94">
        <v>382.81</v>
      </c>
      <c r="E94">
        <v>11</v>
      </c>
      <c r="F94" t="s">
        <v>484</v>
      </c>
      <c r="G94" t="s">
        <v>485</v>
      </c>
      <c r="H94" t="s">
        <v>486</v>
      </c>
    </row>
    <row r="95" spans="1:8" x14ac:dyDescent="0.3">
      <c r="A95" t="s">
        <v>487</v>
      </c>
      <c r="B95" t="s">
        <v>488</v>
      </c>
      <c r="C95" t="s">
        <v>40</v>
      </c>
      <c r="D95">
        <v>638.01</v>
      </c>
      <c r="E95">
        <v>233</v>
      </c>
      <c r="F95" t="s">
        <v>489</v>
      </c>
      <c r="G95" t="s">
        <v>490</v>
      </c>
      <c r="H95" t="s">
        <v>491</v>
      </c>
    </row>
    <row r="96" spans="1:8" x14ac:dyDescent="0.3">
      <c r="A96" t="s">
        <v>492</v>
      </c>
      <c r="B96" t="s">
        <v>493</v>
      </c>
      <c r="C96" t="s">
        <v>29</v>
      </c>
      <c r="D96">
        <v>92.96</v>
      </c>
      <c r="E96">
        <v>1</v>
      </c>
      <c r="F96" t="s">
        <v>494</v>
      </c>
      <c r="G96" t="s">
        <v>495</v>
      </c>
      <c r="H96" t="s">
        <v>496</v>
      </c>
    </row>
    <row r="97" spans="1:8" x14ac:dyDescent="0.3">
      <c r="A97" t="s">
        <v>497</v>
      </c>
      <c r="B97" t="s">
        <v>498</v>
      </c>
      <c r="C97" t="s">
        <v>118</v>
      </c>
      <c r="D97">
        <v>856.71</v>
      </c>
      <c r="E97">
        <v>254</v>
      </c>
      <c r="F97" t="s">
        <v>499</v>
      </c>
      <c r="G97" t="s">
        <v>500</v>
      </c>
      <c r="H97" t="s">
        <v>501</v>
      </c>
    </row>
    <row r="98" spans="1:8" x14ac:dyDescent="0.3">
      <c r="A98" t="s">
        <v>502</v>
      </c>
      <c r="B98" t="s">
        <v>503</v>
      </c>
      <c r="C98" t="s">
        <v>23</v>
      </c>
      <c r="D98">
        <v>413.69</v>
      </c>
      <c r="E98">
        <v>135</v>
      </c>
      <c r="F98" t="s">
        <v>504</v>
      </c>
      <c r="G98" t="s">
        <v>505</v>
      </c>
      <c r="H98" t="s">
        <v>506</v>
      </c>
    </row>
    <row r="99" spans="1:8" x14ac:dyDescent="0.3">
      <c r="A99" t="s">
        <v>507</v>
      </c>
      <c r="B99" t="s">
        <v>508</v>
      </c>
      <c r="C99" t="s">
        <v>40</v>
      </c>
      <c r="D99">
        <v>38.630000000000003</v>
      </c>
      <c r="E99">
        <v>296</v>
      </c>
      <c r="F99" t="s">
        <v>509</v>
      </c>
      <c r="G99" t="s">
        <v>510</v>
      </c>
      <c r="H99" t="s">
        <v>511</v>
      </c>
    </row>
    <row r="100" spans="1:8" x14ac:dyDescent="0.3">
      <c r="A100" t="s">
        <v>512</v>
      </c>
      <c r="B100" t="s">
        <v>513</v>
      </c>
      <c r="C100" t="s">
        <v>118</v>
      </c>
      <c r="D100">
        <v>297.95999999999998</v>
      </c>
      <c r="E100">
        <v>289</v>
      </c>
      <c r="F100" t="s">
        <v>514</v>
      </c>
      <c r="G100" t="s">
        <v>515</v>
      </c>
      <c r="H100" t="s">
        <v>516</v>
      </c>
    </row>
    <row r="101" spans="1:8" x14ac:dyDescent="0.3">
      <c r="A101" t="s">
        <v>517</v>
      </c>
      <c r="B101" t="s">
        <v>518</v>
      </c>
      <c r="C101" t="s">
        <v>23</v>
      </c>
      <c r="D101">
        <v>747.48</v>
      </c>
      <c r="E101">
        <v>251</v>
      </c>
      <c r="F101" t="s">
        <v>519</v>
      </c>
      <c r="G101" t="s">
        <v>520</v>
      </c>
      <c r="H101" t="s">
        <v>521</v>
      </c>
    </row>
  </sheetData>
  <autoFilter ref="A1:H10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Duplicate Report</vt:lpstr>
      <vt:lpstr>Project Summary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Raspreet Kaur</dc:creator>
  <cp:lastModifiedBy>Raspreet Kaur</cp:lastModifiedBy>
  <dcterms:created xsi:type="dcterms:W3CDTF">2026-10-22T13:14:06Z</dcterms:created>
  <dcterms:modified xsi:type="dcterms:W3CDTF">2026-10-22T14:00:17Z</dcterms:modified>
</cp:coreProperties>
</file>